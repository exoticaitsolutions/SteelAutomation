
<file path=[Content_Types].xml><?xml version="1.0" encoding="utf-8"?>
<Types xmlns="http://schemas.openxmlformats.org/package/2006/content-types"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7945" windowHeight="11730" tabRatio="500" activeTab="2"/>
  </bookViews>
  <sheets>
    <sheet name="AFP Summary" sheetId="1" r:id="rId1"/>
    <sheet name="BoQ_Summary" sheetId="2" r:id="rId2"/>
    <sheet name="BoQ_Detailed " sheetId="3" r:id="rId3"/>
    <sheet name="Variation Register" sheetId="4" r:id="rId4"/>
  </sheets>
  <externalReferences>
    <externalReference r:id="rId6"/>
    <externalReference r:id="rId7"/>
  </externalReferences>
  <definedNames>
    <definedName name="_xlnm.Print_Area" localSheetId="0">'AFP Summary'!$A$1:$J$39</definedName>
    <definedName name="_xlnm.Print_Area" localSheetId="1">BoQ_Summary!$A$1:$K$31</definedName>
    <definedName name="_xlnm.Print_Area" localSheetId="3">'Variation Register'!$A$1:$O$90</definedName>
    <definedName name="_xlnm.Print_Titles" localSheetId="3">'Variation Register'!$1:$13</definedName>
    <definedName name="Description">'[1]Daywork Rates'!$B:$B</definedName>
    <definedName name="LabourList1">'[2]Daywork Rates'!$B:$B</definedName>
    <definedName name="PlantList">'[1]Daywork Rates'!$G:$G</definedName>
    <definedName name="PlantList1">'[2]Daywork Rates'!$G:$G</definedName>
    <definedName name="_xlnm.Print_Area" localSheetId="2">Table18[#All]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<sst xmlns="http://schemas.openxmlformats.org/spreadsheetml/2006/main" count="148" uniqueCount="87">
  <si>
    <t>Application For Payment</t>
  </si>
  <si>
    <t xml:space="preserve">Struct Steel Engineering Ltd. </t>
  </si>
  <si>
    <t xml:space="preserve">38 Farnamullan Road, Faughard, Enniskillen, United </t>
  </si>
  <si>
    <t>+44 28 6638 7001</t>
  </si>
  <si>
    <t>structsteeleng.co.uk</t>
  </si>
  <si>
    <t>Client</t>
  </si>
  <si>
    <t>Project:</t>
  </si>
  <si>
    <t>Doncaster Unit 02 &amp; 03</t>
  </si>
  <si>
    <t>Fit Out (UK) Ltd</t>
  </si>
  <si>
    <t>Application Number:</t>
  </si>
  <si>
    <t>27 Abbey Rd, London</t>
  </si>
  <si>
    <t>For Works Complete to:</t>
  </si>
  <si>
    <t xml:space="preserve"> NW10 7SJ, United Kingdom</t>
  </si>
  <si>
    <t>Application Date:</t>
  </si>
  <si>
    <t>Payment Date:</t>
  </si>
  <si>
    <t>Ref</t>
  </si>
  <si>
    <t>Category</t>
  </si>
  <si>
    <t>Zone</t>
  </si>
  <si>
    <t>Account Total</t>
  </si>
  <si>
    <t>% Progress</t>
  </si>
  <si>
    <t>Interim Payment</t>
  </si>
  <si>
    <t>Comment</t>
  </si>
  <si>
    <t>Progress Total</t>
  </si>
  <si>
    <t>Overall Progress</t>
  </si>
  <si>
    <t xml:space="preserve"> </t>
  </si>
  <si>
    <t>Retention</t>
  </si>
  <si>
    <t>Nett Certified To Date</t>
  </si>
  <si>
    <t>Nett Payment Due</t>
  </si>
  <si>
    <t>BOQ Summary</t>
  </si>
  <si>
    <t>Item</t>
  </si>
  <si>
    <t>QTY</t>
  </si>
  <si>
    <t>UNIT</t>
  </si>
  <si>
    <t>RATE</t>
  </si>
  <si>
    <t>TOTAL</t>
  </si>
  <si>
    <t>Progress %</t>
  </si>
  <si>
    <t>Progress £</t>
  </si>
  <si>
    <t>Notes</t>
  </si>
  <si>
    <t>Column1</t>
  </si>
  <si>
    <t>Column12</t>
  </si>
  <si>
    <t>Column122</t>
  </si>
  <si>
    <t>Column1222</t>
  </si>
  <si>
    <t>Column12222</t>
  </si>
  <si>
    <t>Pcs</t>
  </si>
  <si>
    <t>Unit</t>
  </si>
  <si>
    <t xml:space="preserve">Rate </t>
  </si>
  <si>
    <t>Column122222</t>
  </si>
  <si>
    <t>stanchions; member profile not exceeding 25kg/m</t>
  </si>
  <si>
    <t>Steelwork Supply &amp; Install</t>
  </si>
  <si>
    <t>Cat</t>
  </si>
  <si>
    <t>Sum of QTY</t>
  </si>
  <si>
    <t>beams; member profile 25 - 50kg/m</t>
  </si>
  <si>
    <t>tonne</t>
  </si>
  <si>
    <t>Unit 2</t>
  </si>
  <si>
    <t>beams; member profile 50 - 100kg/m</t>
  </si>
  <si>
    <t>Cold Rolled</t>
  </si>
  <si>
    <t>stanchions; member profile 25 - 50kg/m</t>
  </si>
  <si>
    <t>Steel</t>
  </si>
  <si>
    <t>Unit 3</t>
  </si>
  <si>
    <t>Total Result</t>
  </si>
  <si>
    <t>Cold Rolled Supply &amp; Install</t>
  </si>
  <si>
    <t>m</t>
  </si>
  <si>
    <t>Total:</t>
  </si>
  <si>
    <t>Variation Account Total</t>
  </si>
  <si>
    <t xml:space="preserve">Agreed Value </t>
  </si>
  <si>
    <t>Variation Register</t>
  </si>
  <si>
    <t>To be Agreed</t>
  </si>
  <si>
    <t xml:space="preserve">Progress Total </t>
  </si>
  <si>
    <t>Agreed %</t>
  </si>
  <si>
    <t>No. of Variations</t>
  </si>
  <si>
    <t>No. of Variations Agreed</t>
  </si>
  <si>
    <t>Variations to be Priced</t>
  </si>
  <si>
    <t>Client Ref</t>
  </si>
  <si>
    <t xml:space="preserve"> VO</t>
  </si>
  <si>
    <t>Description</t>
  </si>
  <si>
    <t xml:space="preserve">Submission </t>
  </si>
  <si>
    <t>Value £</t>
  </si>
  <si>
    <t xml:space="preserve">Dayworks  </t>
  </si>
  <si>
    <t>Daywork Total</t>
  </si>
  <si>
    <t>Status</t>
  </si>
  <si>
    <t>Date Agreed</t>
  </si>
  <si>
    <t>Progress Notes</t>
  </si>
  <si>
    <t xml:space="preserve">Intumescent Paint Off Site Application </t>
  </si>
  <si>
    <t>Agreed</t>
  </si>
  <si>
    <t>In line with S/C % Complete</t>
  </si>
  <si>
    <t xml:space="preserve">Adds &amp; Omits ; Tender Vs Construction </t>
  </si>
  <si>
    <t>TBC</t>
  </si>
  <si>
    <t xml:space="preserve">NEW STEELWOIRK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</si>
</sst>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20">
    <numFmt numFmtId="176" formatCode="_ * #,##0.00_ ;_ * \-#,##0.00_ ;_ * &quot;-&quot;??_ ;_ @_ "/>
    <numFmt numFmtId="177" formatCode="_ &quot;₹&quot;\ * #,##0.00_ ;_ &quot;₹&quot;\ * \-#,##0.00_ ;_ &quot;₹&quot;\ * &quot;-&quot;??_ ;_ @_ "/>
    <numFmt numFmtId="178" formatCode="_ * #,##0_ ;_ * \-#,##0_ ;_ * &quot;-&quot;_ ;_ @_ "/>
    <numFmt numFmtId="179" formatCode="_ &quot;₹&quot;\ * #,##0_ ;_ &quot;₹&quot;\ * \-#,##0_ ;_ &quot;₹&quot;\ * &quot;-&quot;_ ;_ @_ "/>
    <numFmt numFmtId="180" formatCode="&quot;SI &quot;0"/>
    <numFmt numFmtId="181" formatCode="[$-F800]dddd&quot;, &quot;mmmm\ dd&quot;, &quot;yyyy"/>
    <numFmt numFmtId="182" formatCode="&quot;£&quot;#,##0.00"/>
    <numFmt numFmtId="183" formatCode="00000\-0000"/>
    <numFmt numFmtId="184" formatCode="&quot;SI 0&quot;0"/>
    <numFmt numFmtId="185" formatCode="0&quot; no.&quot;"/>
    <numFmt numFmtId="186" formatCode="0&quot; KG&quot;"/>
    <numFmt numFmtId="187" formatCode="0.000"/>
    <numFmt numFmtId="188" formatCode="_-&quot;£&quot;* #,##0.00_-;&quot;-£&quot;* #,##0.00_-;_-&quot;£&quot;* \-??_-;_-@_-"/>
    <numFmt numFmtId="189" formatCode="0&quot; kg&quot;"/>
    <numFmt numFmtId="190" formatCode="_-&quot;£&quot;* #,##0_-;&quot;-£&quot;* #,##0_-;_-&quot;£&quot;* \-??_-;_-@_-"/>
    <numFmt numFmtId="191" formatCode="0.000&quot; tn&quot;"/>
    <numFmt numFmtId="192" formatCode="&quot;00&quot;0"/>
    <numFmt numFmtId="193" formatCode="[$€-2]\ #,##0.00"/>
    <numFmt numFmtId="194" formatCode="&quot;£&quot;#,##0"/>
    <numFmt numFmtId="195" formatCode="0.0%"/>
  </numFmts>
  <fonts count="80">
    <font>
      <sz val="11"/>
      <color rgb="FF000000"/>
      <name val="Calibri"/>
      <charset val="1"/>
    </font>
    <font>
      <sz val="16"/>
      <color rgb="FF000000"/>
      <name val="Arial"/>
      <charset val="1"/>
    </font>
    <font>
      <sz val="22"/>
      <color rgb="FF000000"/>
      <name val="Arial Nova"/>
      <charset val="1"/>
    </font>
    <font>
      <sz val="18"/>
      <color rgb="FF000000"/>
      <name val="Arial"/>
      <charset val="1"/>
    </font>
    <font>
      <sz val="9"/>
      <color rgb="FF000000"/>
      <name val="Arial"/>
      <charset val="1"/>
    </font>
    <font>
      <b/>
      <sz val="48"/>
      <color rgb="FF394AA9"/>
      <name val="Arial"/>
      <charset val="1"/>
    </font>
    <font>
      <b/>
      <sz val="48"/>
      <color rgb="FF000000"/>
      <name val="Arial"/>
      <charset val="1"/>
    </font>
    <font>
      <sz val="22"/>
      <color rgb="FF8D8E8E"/>
      <name val="Arial Nova"/>
      <charset val="1"/>
    </font>
    <font>
      <sz val="22"/>
      <color rgb="FF262628"/>
      <name val="Arial Nova"/>
      <charset val="1"/>
    </font>
    <font>
      <sz val="22"/>
      <color rgb="FFFFFFFF"/>
      <name val="Arial Nova"/>
      <charset val="1"/>
    </font>
    <font>
      <sz val="24"/>
      <color rgb="FF000000"/>
      <name val="Arial Narrow"/>
      <charset val="1"/>
    </font>
    <font>
      <sz val="24"/>
      <name val="Arial Narrow"/>
      <charset val="1"/>
    </font>
    <font>
      <b/>
      <sz val="22"/>
      <color rgb="FFFFFFFF"/>
      <name val="Arial Nova"/>
      <charset val="1"/>
    </font>
    <font>
      <b/>
      <sz val="22"/>
      <color rgb="FFFFFFFF"/>
      <name val="Arial"/>
      <charset val="1"/>
    </font>
    <font>
      <sz val="20"/>
      <color rgb="FF262628"/>
      <name val="Arial Nova"/>
      <charset val="1"/>
    </font>
    <font>
      <b/>
      <sz val="22"/>
      <color rgb="FF065A98"/>
      <name val="Arial Nova"/>
      <charset val="1"/>
    </font>
    <font>
      <b/>
      <sz val="22"/>
      <color rgb="FF000000"/>
      <name val="Arial"/>
      <charset val="1"/>
    </font>
    <font>
      <sz val="11"/>
      <color rgb="FF262628"/>
      <name val="Arial Nova"/>
      <charset val="1"/>
    </font>
    <font>
      <sz val="24"/>
      <color rgb="FFFF0000"/>
      <name val="Arial Narrow"/>
      <charset val="1"/>
    </font>
    <font>
      <i/>
      <sz val="24"/>
      <color rgb="FFFF0000"/>
      <name val="Arial Narrow"/>
      <charset val="1"/>
    </font>
    <font>
      <sz val="16"/>
      <color rgb="FF000000"/>
      <name val="Ariasl"/>
      <charset val="1"/>
    </font>
    <font>
      <sz val="11"/>
      <color rgb="FF000000"/>
      <name val="Ariasl"/>
      <charset val="1"/>
    </font>
    <font>
      <b/>
      <sz val="11"/>
      <color rgb="FF000000"/>
      <name val="Ariasl"/>
      <charset val="1"/>
    </font>
    <font>
      <b/>
      <sz val="11"/>
      <color rgb="FFFFFFFF"/>
      <name val="Arial Nova"/>
      <charset val="1"/>
    </font>
    <font>
      <b/>
      <sz val="10"/>
      <color rgb="FF000000"/>
      <name val="Arial Narrow"/>
      <charset val="1"/>
    </font>
    <font>
      <sz val="10"/>
      <color rgb="FF000000"/>
      <name val="Arial Narrow"/>
      <charset val="1"/>
    </font>
    <font>
      <b/>
      <sz val="10"/>
      <color rgb="FFFFFFFF"/>
      <name val="Arial Narrow"/>
      <charset val="1"/>
    </font>
    <font>
      <b/>
      <sz val="11"/>
      <color rgb="FF000000"/>
      <name val="Calibri"/>
      <charset val="1"/>
    </font>
    <font>
      <i/>
      <sz val="26"/>
      <color rgb="FF000000"/>
      <name val="Ariasl"/>
      <charset val="1"/>
    </font>
    <font>
      <b/>
      <i/>
      <sz val="26"/>
      <color rgb="FF000000"/>
      <name val="Ariasl"/>
      <charset val="1"/>
    </font>
    <font>
      <b/>
      <sz val="11"/>
      <color rgb="FF000000"/>
      <name val="Arial Narrow"/>
      <charset val="1"/>
    </font>
    <font>
      <sz val="11"/>
      <color rgb="FF000000"/>
      <name val="Arial Narrow"/>
      <charset val="1"/>
    </font>
    <font>
      <b/>
      <sz val="12"/>
      <color rgb="FF000000"/>
      <name val="Arial Nova"/>
      <charset val="1"/>
    </font>
    <font>
      <b/>
      <sz val="10"/>
      <color rgb="FF030303"/>
      <name val="Arial Narrow"/>
      <charset val="1"/>
    </font>
    <font>
      <sz val="10"/>
      <name val="Arial Narrow"/>
      <charset val="1"/>
    </font>
    <font>
      <sz val="10"/>
      <color rgb="FF030303"/>
      <name val="Arial Narrow"/>
      <charset val="1"/>
    </font>
    <font>
      <b/>
      <sz val="11"/>
      <color rgb="FFFFFFFF"/>
      <name val="Arial Narrow"/>
      <charset val="1"/>
    </font>
    <font>
      <sz val="28"/>
      <color rgb="FF000000"/>
      <name val="Arial Nova"/>
      <charset val="1"/>
    </font>
    <font>
      <sz val="16"/>
      <color rgb="FF000000"/>
      <name val="Arial Nova"/>
      <charset val="1"/>
    </font>
    <font>
      <sz val="10"/>
      <color rgb="FF000000"/>
      <name val="Arial Nova"/>
      <charset val="1"/>
    </font>
    <font>
      <sz val="10"/>
      <color rgb="FF203864"/>
      <name val="Arial Nova"/>
      <charset val="1"/>
    </font>
    <font>
      <b/>
      <sz val="10"/>
      <color rgb="FF203864"/>
      <name val="Arial Nova"/>
      <charset val="1"/>
    </font>
    <font>
      <sz val="18"/>
      <color rgb="FFE32827"/>
      <name val="Arial Nova"/>
      <charset val="1"/>
    </font>
    <font>
      <sz val="18"/>
      <color rgb="FF8D8E8E"/>
      <name val="Arial Nova"/>
      <charset val="1"/>
    </font>
    <font>
      <sz val="10"/>
      <color rgb="FF262628"/>
      <name val="Arial Nova"/>
      <charset val="1"/>
    </font>
    <font>
      <sz val="12"/>
      <color rgb="FF262628"/>
      <name val="Arial Nova"/>
      <charset val="1"/>
    </font>
    <font>
      <b/>
      <sz val="11"/>
      <color rgb="FF262628"/>
      <name val="Arial Nova"/>
      <charset val="1"/>
    </font>
    <font>
      <sz val="11"/>
      <color rgb="FFE32827"/>
      <name val="Arial Nova"/>
      <charset val="1"/>
    </font>
    <font>
      <sz val="11"/>
      <color rgb="FF065A98"/>
      <name val="Arial Nova"/>
      <charset val="1"/>
    </font>
    <font>
      <b/>
      <sz val="10"/>
      <color rgb="FF0D0D0D"/>
      <name val="Arial Nova"/>
      <charset val="1"/>
    </font>
    <font>
      <sz val="11"/>
      <color rgb="FF0D0D0D"/>
      <name val="Arial Nova"/>
      <charset val="1"/>
    </font>
    <font>
      <sz val="9"/>
      <color rgb="FF0D0D0D"/>
      <name val="Arial Nova"/>
      <charset val="1"/>
    </font>
    <font>
      <sz val="10"/>
      <color rgb="FF0D0D0D"/>
      <name val="Arial Nova"/>
      <charset val="1"/>
    </font>
    <font>
      <b/>
      <sz val="10"/>
      <color rgb="FF000000"/>
      <name val="Arial Nova"/>
      <charset val="1"/>
    </font>
    <font>
      <b/>
      <sz val="11"/>
      <color rgb="FF000000"/>
      <name val="Arial Nova"/>
      <charset val="1"/>
    </font>
    <font>
      <b/>
      <sz val="9"/>
      <color rgb="FF000000"/>
      <name val="Arial Nova"/>
      <charset val="1"/>
    </font>
    <font>
      <sz val="9"/>
      <color rgb="FF203864"/>
      <name val="Arial Nova"/>
      <charset val="1"/>
    </font>
    <font>
      <sz val="13"/>
      <color rgb="FFFFFFFF"/>
      <name val="Arial Nova"/>
      <charset val="1"/>
    </font>
    <font>
      <sz val="14"/>
      <color rgb="FFFFFFFF"/>
      <name val="Arial Nova"/>
      <charset val="1"/>
    </font>
    <font>
      <sz val="10"/>
      <name val="Arial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808080"/>
        <bgColor rgb="FF8D8E8E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E32827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065A98"/>
        <bgColor rgb="FF00808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D9D9D9"/>
      </top>
      <bottom/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76" fontId="59" fillId="0" borderId="0" applyBorder="0" applyAlignment="0" applyProtection="0"/>
    <xf numFmtId="177" fontId="59" fillId="0" borderId="0" applyBorder="0" applyAlignment="0" applyProtection="0"/>
    <xf numFmtId="9" fontId="0" fillId="0" borderId="0" applyBorder="0" applyProtection="0"/>
    <xf numFmtId="178" fontId="59" fillId="0" borderId="0" applyBorder="0" applyAlignment="0" applyProtection="0"/>
    <xf numFmtId="179" fontId="59" fillId="0" borderId="0" applyBorder="0" applyAlignment="0" applyProtection="0"/>
    <xf numFmtId="0" fontId="60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10" borderId="34" applyNumberFormat="0" applyFont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35" applyNumberFormat="0" applyFill="0" applyAlignment="0" applyProtection="0">
      <alignment vertical="center"/>
    </xf>
    <xf numFmtId="0" fontId="67" fillId="0" borderId="35" applyNumberFormat="0" applyFill="0" applyAlignment="0" applyProtection="0">
      <alignment vertical="center"/>
    </xf>
    <xf numFmtId="0" fontId="68" fillId="0" borderId="36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11" borderId="37" applyNumberFormat="0" applyAlignment="0" applyProtection="0">
      <alignment vertical="center"/>
    </xf>
    <xf numFmtId="0" fontId="70" fillId="12" borderId="38" applyNumberFormat="0" applyAlignment="0" applyProtection="0">
      <alignment vertical="center"/>
    </xf>
    <xf numFmtId="0" fontId="71" fillId="12" borderId="37" applyNumberFormat="0" applyAlignment="0" applyProtection="0">
      <alignment vertical="center"/>
    </xf>
    <xf numFmtId="0" fontId="72" fillId="13" borderId="39" applyNumberFormat="0" applyAlignment="0" applyProtection="0">
      <alignment vertical="center"/>
    </xf>
    <xf numFmtId="0" fontId="73" fillId="0" borderId="40" applyNumberFormat="0" applyFill="0" applyAlignment="0" applyProtection="0">
      <alignment vertical="center"/>
    </xf>
    <xf numFmtId="0" fontId="74" fillId="0" borderId="41" applyNumberFormat="0" applyFill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3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5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7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9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1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3" borderId="0" applyNumberFormat="0" applyBorder="0" applyAlignment="0" applyProtection="0">
      <alignment vertical="center"/>
    </xf>
    <xf numFmtId="0" fontId="79" fillId="34" borderId="0" applyNumberFormat="0" applyBorder="0" applyAlignment="0" applyProtection="0">
      <alignment vertical="center"/>
    </xf>
    <xf numFmtId="0" fontId="79" fillId="35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0" fontId="79" fillId="38" borderId="0" applyNumberFormat="0" applyBorder="0" applyAlignment="0" applyProtection="0">
      <alignment vertical="center"/>
    </xf>
    <xf numFmtId="0" fontId="79" fillId="39" borderId="0" applyNumberFormat="0" applyBorder="0" applyAlignment="0" applyProtection="0">
      <alignment vertical="center"/>
    </xf>
    <xf numFmtId="0" fontId="78" fillId="40" borderId="0" applyNumberFormat="0" applyBorder="0" applyAlignment="0" applyProtection="0">
      <alignment vertical="center"/>
    </xf>
    <xf numFmtId="0" fontId="0" fillId="0" borderId="0" applyBorder="0" applyProtection="0">
      <alignment horizontal="left"/>
    </xf>
    <xf numFmtId="0" fontId="0" fillId="0" borderId="0" applyBorder="0" applyProtection="0"/>
    <xf numFmtId="0" fontId="0" fillId="0" borderId="0" applyBorder="0" applyProtection="0"/>
    <xf numFmtId="0" fontId="27" fillId="0" borderId="0" applyBorder="0" applyProtection="0"/>
    <xf numFmtId="0" fontId="27" fillId="0" borderId="0" applyBorder="0" applyProtection="0">
      <alignment horizontal="left"/>
    </xf>
    <xf numFmtId="0" fontId="0" fillId="0" borderId="0" applyBorder="0" applyProtection="0"/>
  </cellStyleXfs>
  <cellXfs count="23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180" fontId="4" fillId="0" borderId="0" xfId="0" applyNumberFormat="1" applyFont="1"/>
    <xf numFmtId="0" fontId="4" fillId="0" borderId="0" xfId="0" applyFont="1" applyAlignment="1">
      <alignment horizontal="center"/>
    </xf>
    <xf numFmtId="181" fontId="4" fillId="0" borderId="0" xfId="0" applyNumberFormat="1" applyFont="1" applyAlignment="1">
      <alignment horizontal="center"/>
    </xf>
    <xf numFmtId="18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indent="4"/>
    </xf>
    <xf numFmtId="9" fontId="4" fillId="0" borderId="0" xfId="3" applyFont="1" applyBorder="1" applyAlignment="1" applyProtection="1">
      <alignment horizontal="left" indent="4"/>
    </xf>
    <xf numFmtId="182" fontId="4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left" vertical="center" indent="7"/>
    </xf>
    <xf numFmtId="0" fontId="7" fillId="0" borderId="0" xfId="0" applyFont="1" applyAlignment="1">
      <alignment horizontal="left" vertical="center" indent="13"/>
    </xf>
    <xf numFmtId="0" fontId="2" fillId="0" borderId="0" xfId="0" applyFont="1" applyAlignment="1">
      <alignment horizontal="left" vertical="center" indent="13"/>
    </xf>
    <xf numFmtId="180" fontId="1" fillId="0" borderId="0" xfId="0" applyNumberFormat="1" applyFont="1"/>
    <xf numFmtId="0" fontId="8" fillId="0" borderId="0" xfId="0" applyFont="1" applyAlignment="1">
      <alignment horizontal="left" vertical="center" indent="13"/>
    </xf>
    <xf numFmtId="181" fontId="1" fillId="0" borderId="0" xfId="0" applyNumberFormat="1" applyFont="1" applyAlignment="1">
      <alignment horizontal="center"/>
    </xf>
    <xf numFmtId="182" fontId="1" fillId="0" borderId="0" xfId="0" applyNumberFormat="1" applyFont="1" applyAlignment="1">
      <alignment horizontal="center" vertical="center"/>
    </xf>
    <xf numFmtId="183" fontId="8" fillId="0" borderId="0" xfId="0" applyNumberFormat="1" applyFont="1" applyBorder="1" applyAlignment="1">
      <alignment horizontal="left" vertical="center" indent="13"/>
    </xf>
    <xf numFmtId="0" fontId="9" fillId="2" borderId="1" xfId="0" applyFont="1" applyFill="1" applyBorder="1" applyAlignment="1">
      <alignment horizontal="center" vertical="center" wrapText="1"/>
    </xf>
    <xf numFmtId="181" fontId="9" fillId="2" borderId="1" xfId="0" applyNumberFormat="1" applyFont="1" applyFill="1" applyBorder="1" applyAlignment="1">
      <alignment horizontal="center" vertical="center" wrapText="1"/>
    </xf>
    <xf numFmtId="182" fontId="9" fillId="2" borderId="1" xfId="0" applyNumberFormat="1" applyFont="1" applyFill="1" applyBorder="1" applyAlignment="1">
      <alignment horizontal="center" vertical="center" wrapText="1"/>
    </xf>
    <xf numFmtId="184" fontId="10" fillId="0" borderId="2" xfId="0" applyNumberFormat="1" applyFont="1" applyBorder="1" applyAlignment="1">
      <alignment horizontal="left" vertical="center" indent="4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left" vertical="center" wrapText="1" indent="4"/>
    </xf>
    <xf numFmtId="181" fontId="10" fillId="0" borderId="2" xfId="0" applyNumberFormat="1" applyFont="1" applyBorder="1" applyAlignment="1">
      <alignment horizontal="center" vertical="center"/>
    </xf>
    <xf numFmtId="182" fontId="10" fillId="0" borderId="2" xfId="0" applyNumberFormat="1" applyFont="1" applyBorder="1" applyAlignment="1">
      <alignment horizontal="center" vertical="center"/>
    </xf>
    <xf numFmtId="184" fontId="10" fillId="0" borderId="2" xfId="0" applyNumberFormat="1" applyFont="1" applyBorder="1" applyAlignment="1">
      <alignment horizontal="left" vertical="center" indent="7"/>
    </xf>
    <xf numFmtId="0" fontId="10" fillId="0" borderId="2" xfId="0" applyFont="1" applyBorder="1" applyAlignment="1">
      <alignment horizontal="left" vertical="center" wrapText="1" indent="7"/>
    </xf>
    <xf numFmtId="0" fontId="10" fillId="0" borderId="2" xfId="0" applyFont="1" applyBorder="1" applyAlignment="1">
      <alignment horizontal="left" vertical="center" wrapText="1" indent="4"/>
    </xf>
    <xf numFmtId="181" fontId="12" fillId="3" borderId="3" xfId="0" applyNumberFormat="1" applyFont="1" applyFill="1" applyBorder="1" applyAlignment="1">
      <alignment horizontal="left" vertical="center" indent="4"/>
    </xf>
    <xf numFmtId="9" fontId="13" fillId="0" borderId="0" xfId="3" applyFont="1" applyBorder="1" applyAlignment="1" applyProtection="1">
      <alignment horizontal="left" vertical="center" indent="4"/>
    </xf>
    <xf numFmtId="0" fontId="14" fillId="0" borderId="4" xfId="0" applyFont="1" applyBorder="1" applyAlignment="1">
      <alignment horizontal="left" vertical="center" indent="4"/>
    </xf>
    <xf numFmtId="0" fontId="15" fillId="0" borderId="4" xfId="0" applyFont="1" applyBorder="1" applyAlignment="1">
      <alignment horizontal="left" vertical="center" indent="4"/>
    </xf>
    <xf numFmtId="182" fontId="2" fillId="4" borderId="4" xfId="0" applyNumberFormat="1" applyFont="1" applyFill="1" applyBorder="1" applyAlignment="1">
      <alignment horizontal="left" vertical="center"/>
    </xf>
    <xf numFmtId="9" fontId="16" fillId="0" borderId="0" xfId="3" applyFont="1" applyBorder="1" applyAlignment="1" applyProtection="1">
      <alignment horizontal="left" vertical="center" indent="11"/>
    </xf>
    <xf numFmtId="0" fontId="17" fillId="0" borderId="4" xfId="0" applyFont="1" applyBorder="1" applyAlignment="1">
      <alignment horizontal="left" vertical="center" indent="4"/>
    </xf>
    <xf numFmtId="182" fontId="2" fillId="0" borderId="4" xfId="0" applyNumberFormat="1" applyFont="1" applyBorder="1" applyAlignment="1">
      <alignment horizontal="left" vertical="center"/>
    </xf>
    <xf numFmtId="10" fontId="2" fillId="0" borderId="4" xfId="3" applyNumberFormat="1" applyFont="1" applyBorder="1" applyAlignment="1" applyProtection="1">
      <alignment horizontal="left" vertical="center"/>
    </xf>
    <xf numFmtId="185" fontId="2" fillId="0" borderId="4" xfId="0" applyNumberFormat="1" applyFont="1" applyBorder="1" applyAlignment="1">
      <alignment horizontal="left" vertical="center"/>
    </xf>
    <xf numFmtId="182" fontId="1" fillId="0" borderId="0" xfId="0" applyNumberFormat="1" applyFont="1"/>
    <xf numFmtId="0" fontId="1" fillId="0" borderId="4" xfId="0" applyFont="1" applyBorder="1" applyAlignment="1">
      <alignment horizontal="left" indent="4"/>
    </xf>
    <xf numFmtId="0" fontId="14" fillId="0" borderId="5" xfId="0" applyFont="1" applyBorder="1" applyAlignment="1">
      <alignment horizontal="left" vertical="center" indent="4"/>
    </xf>
    <xf numFmtId="0" fontId="17" fillId="0" borderId="5" xfId="0" applyFont="1" applyBorder="1" applyAlignment="1">
      <alignment horizontal="left" vertical="center" indent="4"/>
    </xf>
    <xf numFmtId="185" fontId="2" fillId="0" borderId="5" xfId="0" applyNumberFormat="1" applyFont="1" applyBorder="1" applyAlignment="1">
      <alignment horizontal="left" vertical="center"/>
    </xf>
    <xf numFmtId="9" fontId="9" fillId="2" borderId="1" xfId="3" applyFont="1" applyFill="1" applyBorder="1" applyAlignment="1" applyProtection="1">
      <alignment horizontal="center" vertical="center" wrapText="1"/>
    </xf>
    <xf numFmtId="182" fontId="10" fillId="0" borderId="2" xfId="0" applyNumberFormat="1" applyFont="1" applyBorder="1" applyAlignment="1">
      <alignment horizontal="left" vertical="center" indent="4"/>
    </xf>
    <xf numFmtId="181" fontId="10" fillId="0" borderId="2" xfId="0" applyNumberFormat="1" applyFont="1" applyBorder="1" applyAlignment="1">
      <alignment horizontal="left" vertical="center" indent="4"/>
    </xf>
    <xf numFmtId="0" fontId="10" fillId="0" borderId="2" xfId="0" applyFont="1" applyBorder="1" applyAlignment="1">
      <alignment horizontal="left" vertical="center" indent="4"/>
    </xf>
    <xf numFmtId="9" fontId="10" fillId="0" borderId="2" xfId="3" applyFont="1" applyBorder="1" applyAlignment="1" applyProtection="1">
      <alignment horizontal="left" vertical="center" indent="4"/>
    </xf>
    <xf numFmtId="0" fontId="10" fillId="0" borderId="2" xfId="0" applyFont="1" applyBorder="1" applyAlignment="1">
      <alignment horizontal="left" vertical="center" indent="7"/>
    </xf>
    <xf numFmtId="182" fontId="10" fillId="0" borderId="2" xfId="0" applyNumberFormat="1" applyFont="1" applyBorder="1" applyAlignment="1">
      <alignment horizontal="left" vertical="center" indent="7"/>
    </xf>
    <xf numFmtId="181" fontId="10" fillId="0" borderId="2" xfId="0" applyNumberFormat="1" applyFont="1" applyBorder="1" applyAlignment="1">
      <alignment horizontal="left" vertical="center" indent="7"/>
    </xf>
    <xf numFmtId="9" fontId="10" fillId="0" borderId="2" xfId="3" applyFont="1" applyBorder="1" applyAlignment="1" applyProtection="1">
      <alignment horizontal="left" vertical="center" indent="7"/>
    </xf>
    <xf numFmtId="0" fontId="10" fillId="0" borderId="2" xfId="0" applyFont="1" applyBorder="1" applyAlignment="1">
      <alignment horizontal="left" vertical="center" indent="11"/>
    </xf>
    <xf numFmtId="0" fontId="10" fillId="0" borderId="2" xfId="0" applyFont="1" applyBorder="1" applyAlignment="1">
      <alignment horizontal="left" indent="4"/>
    </xf>
    <xf numFmtId="9" fontId="10" fillId="0" borderId="2" xfId="3" applyFont="1" applyBorder="1" applyAlignment="1" applyProtection="1">
      <alignment horizontal="left" indent="4"/>
    </xf>
    <xf numFmtId="182" fontId="10" fillId="0" borderId="2" xfId="0" applyNumberFormat="1" applyFont="1" applyBorder="1" applyAlignment="1">
      <alignment horizontal="left" indent="4"/>
    </xf>
    <xf numFmtId="181" fontId="18" fillId="0" borderId="2" xfId="0" applyNumberFormat="1" applyFont="1" applyBorder="1" applyAlignment="1">
      <alignment horizontal="center" vertical="center"/>
    </xf>
    <xf numFmtId="184" fontId="10" fillId="0" borderId="6" xfId="0" applyNumberFormat="1" applyFont="1" applyBorder="1" applyAlignment="1">
      <alignment horizontal="left" vertical="center" indent="4"/>
    </xf>
    <xf numFmtId="0" fontId="10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left" vertical="center" wrapText="1" indent="4"/>
    </xf>
    <xf numFmtId="181" fontId="10" fillId="0" borderId="6" xfId="0" applyNumberFormat="1" applyFont="1" applyBorder="1" applyAlignment="1">
      <alignment horizontal="center" vertical="center"/>
    </xf>
    <xf numFmtId="182" fontId="10" fillId="0" borderId="6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indent="4"/>
    </xf>
    <xf numFmtId="9" fontId="19" fillId="0" borderId="2" xfId="3" applyFont="1" applyBorder="1" applyAlignment="1" applyProtection="1">
      <alignment horizontal="left" vertical="center" indent="4"/>
    </xf>
    <xf numFmtId="182" fontId="19" fillId="0" borderId="2" xfId="0" applyNumberFormat="1" applyFont="1" applyBorder="1" applyAlignment="1">
      <alignment horizontal="left" vertical="center" indent="4"/>
    </xf>
    <xf numFmtId="182" fontId="10" fillId="0" borderId="6" xfId="0" applyNumberFormat="1" applyFont="1" applyBorder="1" applyAlignment="1">
      <alignment horizontal="left" vertical="center" indent="4"/>
    </xf>
    <xf numFmtId="181" fontId="10" fillId="0" borderId="6" xfId="0" applyNumberFormat="1" applyFont="1" applyBorder="1" applyAlignment="1">
      <alignment horizontal="left" vertical="center" indent="4"/>
    </xf>
    <xf numFmtId="0" fontId="10" fillId="0" borderId="6" xfId="0" applyFont="1" applyBorder="1" applyAlignment="1">
      <alignment horizontal="left" vertical="center" indent="4"/>
    </xf>
    <xf numFmtId="9" fontId="10" fillId="0" borderId="6" xfId="3" applyFont="1" applyBorder="1" applyAlignment="1" applyProtection="1">
      <alignment horizontal="left" vertical="center" indent="4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186" fontId="21" fillId="0" borderId="0" xfId="0" applyNumberFormat="1" applyFont="1" applyAlignment="1">
      <alignment horizontal="center"/>
    </xf>
    <xf numFmtId="187" fontId="21" fillId="0" borderId="0" xfId="0" applyNumberFormat="1" applyFont="1" applyAlignment="1">
      <alignment horizontal="center"/>
    </xf>
    <xf numFmtId="182" fontId="21" fillId="0" borderId="0" xfId="0" applyNumberFormat="1" applyFont="1" applyAlignment="1">
      <alignment horizontal="center"/>
    </xf>
    <xf numFmtId="188" fontId="21" fillId="0" borderId="0" xfId="0" applyNumberFormat="1" applyFont="1" applyAlignment="1">
      <alignment horizontal="center"/>
    </xf>
    <xf numFmtId="182" fontId="21" fillId="0" borderId="0" xfId="0" applyNumberFormat="1" applyFont="1" applyAlignment="1">
      <alignment horizontal="center" vertical="center"/>
    </xf>
    <xf numFmtId="0" fontId="23" fillId="5" borderId="7" xfId="0" applyFont="1" applyFill="1" applyBorder="1" applyAlignment="1">
      <alignment horizontal="left" vertical="center" indent="4"/>
    </xf>
    <xf numFmtId="186" fontId="23" fillId="5" borderId="7" xfId="0" applyNumberFormat="1" applyFont="1" applyFill="1" applyBorder="1" applyAlignment="1">
      <alignment horizontal="left" vertical="center" indent="4"/>
    </xf>
    <xf numFmtId="187" fontId="23" fillId="5" borderId="7" xfId="0" applyNumberFormat="1" applyFont="1" applyFill="1" applyBorder="1" applyAlignment="1">
      <alignment horizontal="left" vertical="center" indent="4"/>
    </xf>
    <xf numFmtId="0" fontId="24" fillId="0" borderId="8" xfId="0" applyFont="1" applyBorder="1" applyAlignment="1">
      <alignment horizontal="left" vertical="center" indent="4"/>
    </xf>
    <xf numFmtId="0" fontId="25" fillId="0" borderId="9" xfId="0" applyFont="1" applyBorder="1" applyAlignment="1">
      <alignment horizontal="left" vertical="center" indent="4"/>
    </xf>
    <xf numFmtId="189" fontId="25" fillId="0" borderId="9" xfId="0" applyNumberFormat="1" applyFont="1" applyBorder="1" applyAlignment="1">
      <alignment horizontal="left" vertical="center" indent="4"/>
    </xf>
    <xf numFmtId="186" fontId="25" fillId="0" borderId="9" xfId="0" applyNumberFormat="1" applyFont="1" applyBorder="1" applyAlignment="1">
      <alignment horizontal="left" vertical="center" indent="4"/>
    </xf>
    <xf numFmtId="187" fontId="25" fillId="0" borderId="9" xfId="0" applyNumberFormat="1" applyFont="1" applyBorder="1" applyAlignment="1">
      <alignment horizontal="left" vertical="center" indent="4"/>
    </xf>
    <xf numFmtId="0" fontId="24" fillId="0" borderId="9" xfId="0" applyFont="1" applyBorder="1" applyAlignment="1">
      <alignment horizontal="left" vertical="center" indent="4"/>
    </xf>
    <xf numFmtId="185" fontId="25" fillId="0" borderId="9" xfId="0" applyNumberFormat="1" applyFont="1" applyBorder="1" applyAlignment="1">
      <alignment horizontal="left" vertical="center" indent="4"/>
    </xf>
    <xf numFmtId="0" fontId="26" fillId="5" borderId="8" xfId="0" applyFont="1" applyFill="1" applyBorder="1" applyAlignment="1">
      <alignment horizontal="left" vertical="center" indent="4"/>
    </xf>
    <xf numFmtId="0" fontId="26" fillId="5" borderId="9" xfId="0" applyFont="1" applyFill="1" applyBorder="1" applyAlignment="1">
      <alignment horizontal="left" vertical="center" indent="4"/>
    </xf>
    <xf numFmtId="189" fontId="26" fillId="5" borderId="9" xfId="0" applyNumberFormat="1" applyFont="1" applyFill="1" applyBorder="1" applyAlignment="1">
      <alignment horizontal="left" vertical="center" indent="4"/>
    </xf>
    <xf numFmtId="186" fontId="26" fillId="5" borderId="9" xfId="0" applyNumberFormat="1" applyFont="1" applyFill="1" applyBorder="1" applyAlignment="1">
      <alignment horizontal="left" vertical="center" indent="4"/>
    </xf>
    <xf numFmtId="185" fontId="26" fillId="5" borderId="9" xfId="0" applyNumberFormat="1" applyFont="1" applyFill="1" applyBorder="1" applyAlignment="1">
      <alignment horizontal="left" vertical="center" indent="4"/>
    </xf>
    <xf numFmtId="187" fontId="26" fillId="5" borderId="9" xfId="0" applyNumberFormat="1" applyFont="1" applyFill="1" applyBorder="1" applyAlignment="1">
      <alignment horizontal="left" vertical="center" indent="4"/>
    </xf>
    <xf numFmtId="182" fontId="23" fillId="5" borderId="7" xfId="0" applyNumberFormat="1" applyFont="1" applyFill="1" applyBorder="1" applyAlignment="1">
      <alignment horizontal="left" vertical="center" indent="4"/>
    </xf>
    <xf numFmtId="188" fontId="23" fillId="5" borderId="7" xfId="0" applyNumberFormat="1" applyFont="1" applyFill="1" applyBorder="1" applyAlignment="1">
      <alignment horizontal="left" vertical="center" indent="4"/>
    </xf>
    <xf numFmtId="182" fontId="20" fillId="0" borderId="0" xfId="0" applyNumberFormat="1" applyFont="1" applyAlignment="1">
      <alignment horizontal="center" vertical="center"/>
    </xf>
    <xf numFmtId="182" fontId="25" fillId="0" borderId="9" xfId="0" applyNumberFormat="1" applyFont="1" applyBorder="1" applyAlignment="1">
      <alignment horizontal="left" vertical="center" indent="4"/>
    </xf>
    <xf numFmtId="188" fontId="25" fillId="0" borderId="10" xfId="0" applyNumberFormat="1" applyFont="1" applyBorder="1" applyAlignment="1">
      <alignment horizontal="left" vertical="center" indent="4"/>
    </xf>
    <xf numFmtId="0" fontId="0" fillId="0" borderId="11" xfId="51" applyFont="1" applyBorder="1"/>
    <xf numFmtId="0" fontId="0" fillId="0" borderId="12" xfId="51" applyFont="1" applyBorder="1"/>
    <xf numFmtId="0" fontId="0" fillId="0" borderId="13" xfId="50" applyFont="1" applyBorder="1"/>
    <xf numFmtId="0" fontId="0" fillId="0" borderId="14" xfId="49" applyFont="1" applyBorder="1">
      <alignment horizontal="left"/>
    </xf>
    <xf numFmtId="0" fontId="0" fillId="0" borderId="15" xfId="49" applyBorder="1">
      <alignment horizontal="left"/>
    </xf>
    <xf numFmtId="187" fontId="0" fillId="0" borderId="16" xfId="54" applyNumberFormat="1" applyBorder="1"/>
    <xf numFmtId="0" fontId="0" fillId="0" borderId="17" xfId="49" applyBorder="1">
      <alignment horizontal="left"/>
    </xf>
    <xf numFmtId="0" fontId="0" fillId="0" borderId="18" xfId="49" applyFont="1" applyBorder="1">
      <alignment horizontal="left"/>
    </xf>
    <xf numFmtId="187" fontId="0" fillId="0" borderId="19" xfId="54" applyNumberFormat="1" applyBorder="1"/>
    <xf numFmtId="0" fontId="0" fillId="0" borderId="20" xfId="49" applyBorder="1">
      <alignment horizontal="left"/>
    </xf>
    <xf numFmtId="0" fontId="0" fillId="0" borderId="21" xfId="49" applyFont="1" applyBorder="1">
      <alignment horizontal="left"/>
    </xf>
    <xf numFmtId="187" fontId="0" fillId="0" borderId="22" xfId="54" applyNumberFormat="1" applyBorder="1"/>
    <xf numFmtId="0" fontId="27" fillId="0" borderId="23" xfId="53" applyFont="1" applyBorder="1">
      <alignment horizontal="left"/>
    </xf>
    <xf numFmtId="0" fontId="27" fillId="0" borderId="24" xfId="53" applyBorder="1">
      <alignment horizontal="left"/>
    </xf>
    <xf numFmtId="187" fontId="27" fillId="0" borderId="25" xfId="52" applyNumberFormat="1" applyBorder="1"/>
    <xf numFmtId="0" fontId="20" fillId="0" borderId="0" xfId="0" applyFont="1" applyAlignment="1">
      <alignment horizontal="left" vertical="center"/>
    </xf>
    <xf numFmtId="182" fontId="20" fillId="0" borderId="0" xfId="0" applyNumberFormat="1" applyFont="1" applyAlignment="1">
      <alignment horizontal="left" vertical="center"/>
    </xf>
    <xf numFmtId="182" fontId="26" fillId="5" borderId="9" xfId="0" applyNumberFormat="1" applyFont="1" applyFill="1" applyBorder="1" applyAlignment="1">
      <alignment horizontal="left" vertical="center" indent="4"/>
    </xf>
    <xf numFmtId="188" fontId="26" fillId="5" borderId="10" xfId="0" applyNumberFormat="1" applyFont="1" applyFill="1" applyBorder="1" applyAlignment="1">
      <alignment horizontal="left" vertical="center" indent="4"/>
    </xf>
    <xf numFmtId="182" fontId="22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left" indent="4"/>
    </xf>
    <xf numFmtId="182" fontId="31" fillId="0" borderId="0" xfId="0" applyNumberFormat="1" applyFont="1" applyAlignment="1">
      <alignment horizontal="center"/>
    </xf>
    <xf numFmtId="188" fontId="31" fillId="0" borderId="0" xfId="0" applyNumberFormat="1" applyFont="1" applyAlignment="1">
      <alignment horizontal="center"/>
    </xf>
    <xf numFmtId="9" fontId="31" fillId="0" borderId="0" xfId="3" applyFont="1" applyBorder="1" applyAlignment="1" applyProtection="1">
      <alignment horizontal="center"/>
    </xf>
    <xf numFmtId="0" fontId="32" fillId="0" borderId="26" xfId="0" applyFont="1" applyBorder="1" applyAlignment="1">
      <alignment horizontal="center" vertical="center"/>
    </xf>
    <xf numFmtId="0" fontId="26" fillId="5" borderId="27" xfId="0" applyFont="1" applyFill="1" applyBorder="1" applyAlignment="1">
      <alignment horizontal="left" vertical="center" wrapText="1" indent="4"/>
    </xf>
    <xf numFmtId="0" fontId="26" fillId="5" borderId="27" xfId="0" applyFont="1" applyFill="1" applyBorder="1" applyAlignment="1">
      <alignment horizontal="center" vertical="center" wrapText="1"/>
    </xf>
    <xf numFmtId="182" fontId="26" fillId="5" borderId="27" xfId="0" applyNumberFormat="1" applyFont="1" applyFill="1" applyBorder="1" applyAlignment="1">
      <alignment horizontal="left" vertical="center" wrapText="1" indent="4"/>
    </xf>
    <xf numFmtId="188" fontId="26" fillId="5" borderId="27" xfId="0" applyNumberFormat="1" applyFont="1" applyFill="1" applyBorder="1" applyAlignment="1">
      <alignment horizontal="left" vertical="center" wrapText="1" indent="4"/>
    </xf>
    <xf numFmtId="9" fontId="26" fillId="5" borderId="27" xfId="3" applyFont="1" applyFill="1" applyBorder="1" applyAlignment="1" applyProtection="1">
      <alignment horizontal="center" vertical="center" wrapText="1"/>
    </xf>
    <xf numFmtId="1" fontId="33" fillId="0" borderId="28" xfId="0" applyNumberFormat="1" applyFont="1" applyBorder="1" applyAlignment="1">
      <alignment horizontal="left" vertical="center" indent="4" shrinkToFit="1"/>
    </xf>
    <xf numFmtId="0" fontId="34" fillId="0" borderId="28" xfId="0" applyFont="1" applyBorder="1" applyAlignment="1">
      <alignment horizontal="left" vertical="center" wrapText="1" indent="4"/>
    </xf>
    <xf numFmtId="1" fontId="34" fillId="0" borderId="28" xfId="0" applyNumberFormat="1" applyFont="1" applyBorder="1" applyAlignment="1">
      <alignment horizontal="center" vertical="center" wrapText="1"/>
    </xf>
    <xf numFmtId="187" fontId="35" fillId="0" borderId="28" xfId="0" applyNumberFormat="1" applyFont="1" applyBorder="1" applyAlignment="1">
      <alignment horizontal="center" vertical="center" shrinkToFit="1"/>
    </xf>
    <xf numFmtId="190" fontId="35" fillId="0" borderId="28" xfId="0" applyNumberFormat="1" applyFont="1" applyBorder="1" applyAlignment="1">
      <alignment horizontal="left" vertical="center" indent="4" shrinkToFit="1"/>
    </xf>
    <xf numFmtId="190" fontId="34" fillId="0" borderId="28" xfId="0" applyNumberFormat="1" applyFont="1" applyBorder="1" applyAlignment="1">
      <alignment horizontal="left" vertical="center" wrapText="1" indent="4"/>
    </xf>
    <xf numFmtId="9" fontId="34" fillId="0" borderId="28" xfId="3" applyFont="1" applyBorder="1" applyAlignment="1" applyProtection="1">
      <alignment horizontal="center" vertical="center" wrapText="1"/>
    </xf>
    <xf numFmtId="0" fontId="36" fillId="5" borderId="0" xfId="0" applyFont="1" applyFill="1" applyAlignment="1">
      <alignment horizontal="center" vertical="center"/>
    </xf>
    <xf numFmtId="182" fontId="36" fillId="5" borderId="0" xfId="0" applyNumberFormat="1" applyFont="1" applyFill="1" applyAlignment="1">
      <alignment horizontal="center" vertical="center"/>
    </xf>
    <xf numFmtId="188" fontId="36" fillId="5" borderId="0" xfId="0" applyNumberFormat="1" applyFont="1" applyFill="1" applyAlignment="1">
      <alignment horizontal="center" vertical="center"/>
    </xf>
    <xf numFmtId="9" fontId="36" fillId="5" borderId="0" xfId="3" applyFont="1" applyFill="1" applyBorder="1" applyAlignment="1" applyProtection="1">
      <alignment horizontal="center" vertical="center"/>
    </xf>
    <xf numFmtId="188" fontId="35" fillId="0" borderId="28" xfId="0" applyNumberFormat="1" applyFont="1" applyBorder="1" applyAlignment="1">
      <alignment horizontal="left" vertical="center" indent="4" shrinkToFit="1"/>
    </xf>
    <xf numFmtId="191" fontId="31" fillId="0" borderId="0" xfId="0" applyNumberFormat="1" applyFont="1" applyAlignment="1">
      <alignment horizontal="center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88" fontId="39" fillId="0" borderId="0" xfId="0" applyNumberFormat="1" applyFont="1" applyAlignment="1">
      <alignment horizontal="left" vertical="center"/>
    </xf>
    <xf numFmtId="9" fontId="39" fillId="0" borderId="0" xfId="3" applyFont="1" applyBorder="1" applyAlignment="1" applyProtection="1">
      <alignment horizontal="center" vertical="center"/>
    </xf>
    <xf numFmtId="0" fontId="39" fillId="0" borderId="0" xfId="0" applyFont="1" applyAlignment="1">
      <alignment horizontal="center" vertical="center"/>
    </xf>
    <xf numFmtId="0" fontId="42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center"/>
    </xf>
    <xf numFmtId="188" fontId="38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183" fontId="44" fillId="0" borderId="0" xfId="0" applyNumberFormat="1" applyFont="1" applyBorder="1" applyAlignment="1">
      <alignment horizontal="left" vertical="center"/>
    </xf>
    <xf numFmtId="0" fontId="44" fillId="0" borderId="29" xfId="0" applyFont="1" applyBorder="1" applyAlignment="1">
      <alignment horizontal="left" vertical="center"/>
    </xf>
    <xf numFmtId="0" fontId="39" fillId="0" borderId="29" xfId="0" applyFont="1" applyBorder="1" applyAlignment="1">
      <alignment horizontal="left" vertical="center"/>
    </xf>
    <xf numFmtId="188" fontId="39" fillId="0" borderId="29" xfId="0" applyNumberFormat="1" applyFont="1" applyBorder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46" fillId="0" borderId="30" xfId="0" applyFont="1" applyBorder="1" applyAlignment="1">
      <alignment horizontal="left" vertical="center" indent="4"/>
    </xf>
    <xf numFmtId="192" fontId="47" fillId="0" borderId="30" xfId="0" applyNumberFormat="1" applyFont="1" applyBorder="1" applyAlignment="1">
      <alignment horizontal="left" vertical="center" indent="4"/>
    </xf>
    <xf numFmtId="188" fontId="40" fillId="0" borderId="0" xfId="0" applyNumberFormat="1" applyFont="1" applyAlignment="1">
      <alignment horizontal="center" vertical="center"/>
    </xf>
    <xf numFmtId="0" fontId="17" fillId="0" borderId="31" xfId="0" applyFont="1" applyBorder="1" applyAlignment="1">
      <alignment horizontal="left" vertical="center" indent="4"/>
    </xf>
    <xf numFmtId="181" fontId="47" fillId="0" borderId="31" xfId="0" applyNumberFormat="1" applyFont="1" applyBorder="1" applyAlignment="1">
      <alignment horizontal="right" vertical="center" indent="4"/>
    </xf>
    <xf numFmtId="0" fontId="17" fillId="0" borderId="0" xfId="0" applyFont="1" applyAlignment="1">
      <alignment horizontal="left" vertical="center" indent="4"/>
    </xf>
    <xf numFmtId="188" fontId="40" fillId="0" borderId="0" xfId="0" applyNumberFormat="1" applyFont="1" applyAlignment="1">
      <alignment horizontal="left" vertical="center"/>
    </xf>
    <xf numFmtId="0" fontId="17" fillId="0" borderId="2" xfId="0" applyFont="1" applyBorder="1" applyAlignment="1">
      <alignment horizontal="left" vertical="center" indent="4"/>
    </xf>
    <xf numFmtId="192" fontId="47" fillId="6" borderId="2" xfId="0" applyNumberFormat="1" applyFont="1" applyFill="1" applyBorder="1" applyAlignment="1">
      <alignment horizontal="right" vertical="center" indent="4"/>
    </xf>
    <xf numFmtId="0" fontId="40" fillId="0" borderId="0" xfId="0" applyFont="1" applyAlignment="1">
      <alignment horizontal="left" vertical="center" indent="4"/>
    </xf>
    <xf numFmtId="181" fontId="47" fillId="6" borderId="2" xfId="0" applyNumberFormat="1" applyFont="1" applyFill="1" applyBorder="1" applyAlignment="1">
      <alignment horizontal="right" vertical="center" indent="4"/>
    </xf>
    <xf numFmtId="0" fontId="17" fillId="0" borderId="29" xfId="0" applyFont="1" applyBorder="1" applyAlignment="1">
      <alignment horizontal="left" vertical="center" indent="4"/>
    </xf>
    <xf numFmtId="0" fontId="40" fillId="0" borderId="29" xfId="0" applyFont="1" applyBorder="1" applyAlignment="1">
      <alignment horizontal="left" vertical="center" indent="4"/>
    </xf>
    <xf numFmtId="0" fontId="17" fillId="0" borderId="32" xfId="0" applyFont="1" applyBorder="1" applyAlignment="1">
      <alignment horizontal="left" vertical="center" indent="4"/>
    </xf>
    <xf numFmtId="181" fontId="47" fillId="6" borderId="32" xfId="0" applyNumberFormat="1" applyFont="1" applyFill="1" applyBorder="1" applyAlignment="1">
      <alignment horizontal="right" vertical="center" indent="4"/>
    </xf>
    <xf numFmtId="0" fontId="17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181" fontId="48" fillId="0" borderId="0" xfId="0" applyNumberFormat="1" applyFont="1" applyAlignment="1">
      <alignment horizontal="right" vertical="center"/>
    </xf>
    <xf numFmtId="0" fontId="23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left" vertical="center"/>
    </xf>
    <xf numFmtId="188" fontId="23" fillId="7" borderId="0" xfId="0" applyNumberFormat="1" applyFont="1" applyFill="1" applyAlignment="1">
      <alignment horizontal="left" vertical="center"/>
    </xf>
    <xf numFmtId="9" fontId="23" fillId="7" borderId="0" xfId="3" applyFont="1" applyFill="1" applyBorder="1" applyAlignment="1" applyProtection="1">
      <alignment horizontal="center" vertical="center"/>
    </xf>
    <xf numFmtId="188" fontId="23" fillId="7" borderId="0" xfId="0" applyNumberFormat="1" applyFont="1" applyFill="1" applyAlignment="1">
      <alignment horizontal="center" vertical="center"/>
    </xf>
    <xf numFmtId="193" fontId="23" fillId="7" borderId="0" xfId="0" applyNumberFormat="1" applyFont="1" applyFill="1" applyBorder="1" applyAlignment="1">
      <alignment horizontal="center" vertical="center"/>
    </xf>
    <xf numFmtId="0" fontId="49" fillId="8" borderId="1" xfId="0" applyFont="1" applyFill="1" applyBorder="1" applyAlignment="1">
      <alignment horizontal="center" vertical="center" wrapText="1"/>
    </xf>
    <xf numFmtId="1" fontId="50" fillId="6" borderId="1" xfId="0" applyNumberFormat="1" applyFont="1" applyFill="1" applyBorder="1" applyAlignment="1">
      <alignment horizontal="left" vertical="center" wrapText="1"/>
    </xf>
    <xf numFmtId="0" fontId="50" fillId="8" borderId="1" xfId="0" applyFont="1" applyFill="1" applyBorder="1" applyAlignment="1">
      <alignment horizontal="left" vertical="center"/>
    </xf>
    <xf numFmtId="190" fontId="50" fillId="8" borderId="1" xfId="0" applyNumberFormat="1" applyFont="1" applyFill="1" applyBorder="1" applyAlignment="1">
      <alignment horizontal="left" vertical="center"/>
    </xf>
    <xf numFmtId="9" fontId="50" fillId="8" borderId="1" xfId="3" applyFont="1" applyFill="1" applyBorder="1" applyAlignment="1" applyProtection="1">
      <alignment horizontal="center" vertical="center"/>
    </xf>
    <xf numFmtId="0" fontId="51" fillId="8" borderId="1" xfId="0" applyFont="1" applyFill="1" applyBorder="1" applyAlignment="1">
      <alignment horizontal="left" vertical="center" wrapText="1" indent="4"/>
    </xf>
    <xf numFmtId="0" fontId="49" fillId="0" borderId="2" xfId="0" applyFont="1" applyBorder="1" applyAlignment="1">
      <alignment horizontal="center" vertical="center" wrapText="1"/>
    </xf>
    <xf numFmtId="1" fontId="50" fillId="6" borderId="2" xfId="0" applyNumberFormat="1" applyFont="1" applyFill="1" applyBorder="1" applyAlignment="1">
      <alignment horizontal="left" vertical="center" wrapText="1"/>
    </xf>
    <xf numFmtId="0" fontId="50" fillId="0" borderId="2" xfId="0" applyFont="1" applyBorder="1" applyAlignment="1">
      <alignment horizontal="left" vertical="center"/>
    </xf>
    <xf numFmtId="0" fontId="50" fillId="8" borderId="2" xfId="0" applyFont="1" applyFill="1" applyBorder="1" applyAlignment="1">
      <alignment horizontal="left" vertical="center" wrapText="1"/>
    </xf>
    <xf numFmtId="0" fontId="50" fillId="8" borderId="2" xfId="0" applyFont="1" applyFill="1" applyBorder="1" applyAlignment="1">
      <alignment horizontal="left" vertical="center"/>
    </xf>
    <xf numFmtId="0" fontId="50" fillId="0" borderId="2" xfId="0" applyFont="1" applyBorder="1" applyAlignment="1">
      <alignment horizontal="left" vertical="center" wrapText="1"/>
    </xf>
    <xf numFmtId="0" fontId="50" fillId="0" borderId="6" xfId="0" applyFont="1" applyBorder="1" applyAlignment="1">
      <alignment horizontal="left" vertical="center" wrapText="1"/>
    </xf>
    <xf numFmtId="0" fontId="50" fillId="0" borderId="6" xfId="0" applyFont="1" applyBorder="1" applyAlignment="1">
      <alignment horizontal="left" vertical="center"/>
    </xf>
    <xf numFmtId="188" fontId="50" fillId="8" borderId="1" xfId="0" applyNumberFormat="1" applyFont="1" applyFill="1" applyBorder="1" applyAlignment="1">
      <alignment horizontal="left" vertical="center"/>
    </xf>
    <xf numFmtId="188" fontId="50" fillId="0" borderId="6" xfId="0" applyNumberFormat="1" applyFont="1" applyBorder="1" applyAlignment="1">
      <alignment horizontal="left" vertical="center"/>
    </xf>
    <xf numFmtId="0" fontId="51" fillId="0" borderId="6" xfId="0" applyFont="1" applyBorder="1" applyAlignment="1">
      <alignment horizontal="center" vertical="center" wrapText="1"/>
    </xf>
    <xf numFmtId="0" fontId="50" fillId="8" borderId="33" xfId="0" applyFont="1" applyFill="1" applyBorder="1" applyAlignment="1">
      <alignment horizontal="left" vertical="center"/>
    </xf>
    <xf numFmtId="188" fontId="50" fillId="8" borderId="33" xfId="0" applyNumberFormat="1" applyFont="1" applyFill="1" applyBorder="1" applyAlignment="1">
      <alignment horizontal="left" vertical="center"/>
    </xf>
    <xf numFmtId="0" fontId="52" fillId="8" borderId="33" xfId="0" applyFont="1" applyFill="1" applyBorder="1" applyAlignment="1">
      <alignment horizontal="left" vertical="center" wrapText="1"/>
    </xf>
    <xf numFmtId="0" fontId="53" fillId="8" borderId="30" xfId="0" applyFont="1" applyFill="1" applyBorder="1" applyAlignment="1">
      <alignment horizontal="left" vertical="center" wrapText="1"/>
    </xf>
    <xf numFmtId="0" fontId="53" fillId="8" borderId="30" xfId="0" applyFont="1" applyFill="1" applyBorder="1" applyAlignment="1">
      <alignment horizontal="left" vertical="center"/>
    </xf>
    <xf numFmtId="193" fontId="54" fillId="8" borderId="30" xfId="0" applyNumberFormat="1" applyFont="1" applyFill="1" applyBorder="1" applyAlignment="1">
      <alignment horizontal="left" vertical="center"/>
    </xf>
    <xf numFmtId="194" fontId="53" fillId="8" borderId="30" xfId="0" applyNumberFormat="1" applyFont="1" applyFill="1" applyBorder="1" applyAlignment="1">
      <alignment horizontal="center" vertical="center"/>
    </xf>
    <xf numFmtId="9" fontId="54" fillId="8" borderId="30" xfId="3" applyFont="1" applyFill="1" applyBorder="1" applyAlignment="1" applyProtection="1">
      <alignment horizontal="left" vertical="center"/>
    </xf>
    <xf numFmtId="0" fontId="55" fillId="8" borderId="30" xfId="0" applyFont="1" applyFill="1" applyBorder="1" applyAlignment="1">
      <alignment horizontal="center" vertical="center" wrapText="1"/>
    </xf>
    <xf numFmtId="0" fontId="40" fillId="8" borderId="0" xfId="0" applyFont="1" applyFill="1" applyAlignment="1">
      <alignment horizontal="left" vertical="center"/>
    </xf>
    <xf numFmtId="185" fontId="40" fillId="8" borderId="0" xfId="0" applyNumberFormat="1" applyFont="1" applyFill="1" applyAlignment="1">
      <alignment horizontal="left" vertical="center"/>
    </xf>
    <xf numFmtId="188" fontId="40" fillId="8" borderId="0" xfId="0" applyNumberFormat="1" applyFont="1" applyFill="1" applyAlignment="1">
      <alignment horizontal="right" vertical="center"/>
    </xf>
    <xf numFmtId="9" fontId="40" fillId="8" borderId="29" xfId="3" applyFont="1" applyFill="1" applyBorder="1" applyAlignment="1" applyProtection="1">
      <alignment horizontal="center" vertical="center"/>
    </xf>
    <xf numFmtId="193" fontId="40" fillId="8" borderId="29" xfId="0" applyNumberFormat="1" applyFont="1" applyFill="1" applyBorder="1" applyAlignment="1">
      <alignment horizontal="center" vertical="center"/>
    </xf>
    <xf numFmtId="0" fontId="56" fillId="8" borderId="29" xfId="0" applyFont="1" applyFill="1" applyBorder="1" applyAlignment="1">
      <alignment horizontal="center" vertical="center" wrapText="1"/>
    </xf>
    <xf numFmtId="193" fontId="56" fillId="0" borderId="0" xfId="0" applyNumberFormat="1" applyFont="1" applyAlignment="1">
      <alignment horizontal="left" vertical="center"/>
    </xf>
    <xf numFmtId="188" fontId="56" fillId="0" borderId="0" xfId="0" applyNumberFormat="1" applyFont="1" applyAlignment="1">
      <alignment horizontal="center" vertical="center"/>
    </xf>
    <xf numFmtId="195" fontId="17" fillId="0" borderId="31" xfId="3" applyNumberFormat="1" applyFont="1" applyBorder="1" applyAlignment="1" applyProtection="1">
      <alignment horizontal="center" vertical="center"/>
    </xf>
    <xf numFmtId="190" fontId="17" fillId="0" borderId="2" xfId="0" applyNumberFormat="1" applyFont="1" applyBorder="1" applyAlignment="1">
      <alignment horizontal="right" vertical="center"/>
    </xf>
    <xf numFmtId="188" fontId="41" fillId="0" borderId="0" xfId="0" applyNumberFormat="1" applyFont="1" applyAlignment="1">
      <alignment horizontal="left" vertical="center"/>
    </xf>
    <xf numFmtId="188" fontId="17" fillId="0" borderId="2" xfId="0" applyNumberFormat="1" applyFont="1" applyBorder="1" applyAlignment="1">
      <alignment horizontal="right" vertical="center"/>
    </xf>
    <xf numFmtId="9" fontId="17" fillId="0" borderId="2" xfId="3" applyFont="1" applyBorder="1" applyAlignment="1" applyProtection="1">
      <alignment horizontal="left" vertical="center" indent="4"/>
    </xf>
    <xf numFmtId="9" fontId="57" fillId="5" borderId="32" xfId="3" applyFont="1" applyFill="1" applyBorder="1" applyAlignment="1" applyProtection="1">
      <alignment horizontal="left" vertical="center" indent="4"/>
    </xf>
    <xf numFmtId="190" fontId="58" fillId="5" borderId="32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192" fontId="48" fillId="0" borderId="0" xfId="0" applyNumberFormat="1" applyFont="1" applyAlignment="1">
      <alignment horizontal="right" vertical="center"/>
    </xf>
    <xf numFmtId="0" fontId="40" fillId="9" borderId="0" xfId="0" applyFont="1" applyFill="1" applyAlignment="1">
      <alignment vertical="center"/>
    </xf>
  </cellXfs>
  <cellStyles count="55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Pivot Table Category" xfId="49"/>
    <cellStyle name="Pivot Table Corner" xfId="50"/>
    <cellStyle name="Pivot Table Field" xfId="51"/>
    <cellStyle name="Pivot Table Result" xfId="52"/>
    <cellStyle name="Pivot Table Title" xfId="53"/>
    <cellStyle name="Pivot Table Value" xfId="54"/>
  </cellStyles>
  <dxfs count="20"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name val="Calibri"/>
        <scheme val="none"/>
        <charset val="1"/>
        <family val="2"/>
        <sz val="11"/>
        <color rgb="FF000000"/>
      </font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C0006"/>
      <rgbColor rgb="00006100"/>
      <rgbColor rgb="00030303"/>
      <rgbColor rgb="00808000"/>
      <rgbColor rgb="00800080"/>
      <rgbColor rgb="00008080"/>
      <rgbColor rgb="00BFBFBF"/>
      <rgbColor rgb="00808080"/>
      <rgbColor rgb="009999FF"/>
      <rgbColor rgb="00993366"/>
      <rgbColor rgb="00F2F2F2"/>
      <rgbColor rgb="00CCFFFF"/>
      <rgbColor rgb="00660066"/>
      <rgbColor rgb="00FF8080"/>
      <rgbColor rgb="00065A98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6EFCE"/>
      <rgbColor rgb="00FFFF99"/>
      <rgbColor rgb="0099CCFF"/>
      <rgbColor rgb="00FF99CC"/>
      <rgbColor rgb="00CC99FF"/>
      <rgbColor rgb="00FFC7CE"/>
      <rgbColor rgb="003366FF"/>
      <rgbColor rgb="0033CCCC"/>
      <rgbColor rgb="0099CC00"/>
      <rgbColor rgb="00FFCC00"/>
      <rgbColor rgb="00FF9900"/>
      <rgbColor rgb="00FF6600"/>
      <rgbColor rgb="00666699"/>
      <rgbColor rgb="008D8E8E"/>
      <rgbColor rgb="00203864"/>
      <rgbColor rgb="00339966"/>
      <rgbColor rgb="00181717"/>
      <rgbColor rgb="000D0D0D"/>
      <rgbColor rgb="00E32827"/>
      <rgbColor rgb="00993366"/>
      <rgbColor rgb="00394AA9"/>
      <rgbColor rgb="0026262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1206360</xdr:colOff>
      <xdr:row>1</xdr:row>
      <xdr:rowOff>0</xdr:rowOff>
    </xdr:from>
    <xdr:to>
      <xdr:col>8</xdr:col>
      <xdr:colOff>1440</xdr:colOff>
      <xdr:row>5</xdr:row>
      <xdr:rowOff>95760</xdr:rowOff>
    </xdr:to>
    <xdr:pic>
      <xdr:nvPicPr>
        <xdr:cNvPr id="2" name="Picture 5"/>
        <xdr:cNvPicPr/>
      </xdr:nvPicPr>
      <xdr:blipFill>
        <a:blip r:embed="rId1"/>
        <a:stretch>
          <a:fillRect/>
        </a:stretch>
      </xdr:blipFill>
      <xdr:spPr>
        <a:xfrm>
          <a:off x="7055485" y="190500"/>
          <a:ext cx="2565400" cy="13239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686160</xdr:colOff>
      <xdr:row>36</xdr:row>
      <xdr:rowOff>130320</xdr:rowOff>
    </xdr:to>
    <xdr:pic>
      <xdr:nvPicPr>
        <xdr:cNvPr id="3" name="Picture 1" descr="A black and white logo&#10;&#10;Description automatically generated"/>
        <xdr:cNvPicPr/>
      </xdr:nvPicPr>
      <xdr:blipFill>
        <a:blip r:embed="rId2"/>
        <a:stretch>
          <a:fillRect/>
        </a:stretch>
      </xdr:blipFill>
      <xdr:spPr>
        <a:xfrm>
          <a:off x="2340610" y="11816715"/>
          <a:ext cx="5509895" cy="109855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257040</xdr:colOff>
      <xdr:row>1</xdr:row>
      <xdr:rowOff>174600</xdr:rowOff>
    </xdr:from>
    <xdr:to>
      <xdr:col>3</xdr:col>
      <xdr:colOff>2774160</xdr:colOff>
      <xdr:row>4</xdr:row>
      <xdr:rowOff>411840</xdr:rowOff>
    </xdr:to>
    <xdr:pic>
      <xdr:nvPicPr>
        <xdr:cNvPr id="2" name="Picture 1"/>
        <xdr:cNvPicPr/>
      </xdr:nvPicPr>
      <xdr:blipFill>
        <a:blip r:embed="rId1"/>
        <a:stretch>
          <a:fillRect/>
        </a:stretch>
      </xdr:blipFill>
      <xdr:spPr>
        <a:xfrm>
          <a:off x="2093595" y="372745"/>
          <a:ext cx="3954145" cy="2091055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https:\\jetsteelcouk-my.sharepoint.com\QS%20Project%20Share\C1788%20-%2081%20Newgate%20Street\3.%20Variations\C1788%2081%20NGS%20Variation%20Regi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home\Videos\Komal%20Work\Steel-Automation\SteelAutomation\backend\xlsm_file_template\home\dell\Downloads\000%20Projects%20Live\Projects%20P24-\P24-1133%20Ballinrees%20WTW\16.%20Commercial\3.%20Variations\P24_1133%20WTW%20Ballinrees%20Variation%20Register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3" refreshedDate="0" recordCount="4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0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6">
        <s v="202 C 18"/>
        <s v="232 Z 16"/>
        <s v="232 Z 18"/>
        <s v="232 Z 23"/>
        <s v="CHS114.3*5.0"/>
        <s v="CHS139.7*5.0"/>
        <s v="CHS168.3*5.0"/>
        <s v="Cold Rolled Supply &amp; Install"/>
        <s v="Fittings"/>
        <s v="PFC-200*75*23"/>
        <s v="PFC-200*90*30"/>
        <s v="SHS140*140*5.0"/>
        <s v="SHS160*160*5.0"/>
        <s v="SHS160*160*6.3"/>
        <s v="SHS200*200*8.0"/>
        <s v="SHS300*300*16.0"/>
        <s v="Steelwork Supply &amp; Install"/>
        <s v="UB203*133*25"/>
        <s v="UB305*165*46"/>
        <s v="UB356*127*33"/>
        <s v="UB356*171*45"/>
        <s v="UB457*152*52"/>
        <s v="UB457*152*67"/>
        <s v="UB533*210*82"/>
        <s v="UB686*254*125"/>
        <m/>
      </sharedItems>
    </cacheField>
    <cacheField name="Cat" numFmtId="0">
      <sharedItems containsBlank="1" count="3">
        <s v="Cold Rolled"/>
        <s v="Steel"/>
        <m/>
      </sharedItems>
    </cacheField>
    <cacheField name="Type" numFmtId="0">
      <sharedItems containsBlank="1" count="6">
        <s v="Beam"/>
        <s v="Bracing"/>
        <s v="Column"/>
        <s v="Door Frame"/>
        <s v="Purlin"/>
        <m/>
      </sharedItems>
    </cacheField>
    <cacheField name="Zone" numFmtId="0">
      <sharedItems containsBlank="1" count="3">
        <s v="Unit 2"/>
        <s v="Unit 3"/>
        <m/>
      </sharedItems>
    </cacheField>
    <cacheField name="ACW" numFmtId="0">
      <sharedItems containsString="0" containsBlank="1" containsNumber="1" minValue="0" maxValue="1372.18636363636" count="33">
        <n v="44.525"/>
        <n v="49.4118181818182"/>
        <n v="53.3175"/>
        <n v="101.130833333333"/>
        <n v="102.875357142857"/>
        <n v="108.66"/>
        <n v="109.071666666667"/>
        <n v="109.795"/>
        <n v="110.155"/>
        <n v="136.925714285714"/>
        <n v="138.365"/>
        <n v="138.4575"/>
        <n v="140.971666666667"/>
        <n v="144.977"/>
        <n v="146.989"/>
        <n v="156.344090909091"/>
        <n v="159.8775"/>
        <n v="179.215"/>
        <n v="194.68"/>
        <n v="197.634090909091"/>
        <n v="229.80875"/>
        <n v="230.924285714286"/>
        <n v="303.93"/>
        <n v="345.964"/>
        <n v="346.885"/>
        <n v="398.7225"/>
        <n v="440.978181818182"/>
        <n v="572.566"/>
        <n v="605.131666666667"/>
        <n v="906.44"/>
        <n v="1192.834"/>
        <n v="1372.18636363636"/>
        <m/>
      </sharedItems>
    </cacheField>
    <cacheField name="Pcs" numFmtId="0">
      <sharedItems containsString="0" containsBlank="1" containsNumber="1" containsInteger="1" minValue="0" maxValue="40" count="17">
        <n v="1"/>
        <n v="2"/>
        <n v="4"/>
        <n v="6"/>
        <n v="7"/>
        <n v="8"/>
        <n v="10"/>
        <n v="11"/>
        <n v="12"/>
        <n v="14"/>
        <n v="18"/>
        <n v="20"/>
        <n v="22"/>
        <n v="24"/>
        <n v="28"/>
        <n v="40"/>
        <m/>
      </sharedItems>
    </cacheField>
    <cacheField name="QTY" numFmtId="0">
      <sharedItems containsString="0" containsBlank="1" containsNumber="1" minValue="0" maxValue="1160" count="40">
        <n v="0.21327"/>
        <n v="0.21732"/>
        <n v="0.21959"/>
        <n v="0.22031"/>
        <n v="0.27673"/>
        <n v="0.55383"/>
        <n v="0.60786"/>
        <n v="0.63951"/>
        <n v="0.65443"/>
        <n v="0.69377"/>
        <n v="0.71686"/>
        <n v="0.80145"/>
        <n v="0.84583"/>
        <n v="0.90644"/>
        <n v="0.95848"/>
        <n v="1.08706"/>
        <n v="1.21357"/>
        <n v="1.44977"/>
        <n v="1.55744"/>
        <n v="2.88051"/>
        <n v="3"/>
        <n v="3.18978"/>
        <n v="3.23294"/>
        <n v="3.43957"/>
        <n v="3.63079"/>
        <n v="4.34795"/>
        <n v="4.85076"/>
        <n v="5.51541"/>
        <n v="5.72566"/>
        <n v="5.87956"/>
        <n v="6"/>
        <n v="6.91928"/>
        <n v="11.92834"/>
        <n v="15.09405"/>
        <n v="320"/>
        <n v="440"/>
        <n v="820"/>
        <n v="1080"/>
        <n v="1160"/>
        <m/>
      </sharedItems>
    </cacheField>
    <cacheField name="Unit" numFmtId="0">
      <sharedItems containsBlank="1" count="3">
        <s v="m"/>
        <s v="tonne"/>
        <m/>
      </sharedItems>
    </cacheField>
    <cacheField name="Rate " numFmtId="0">
      <sharedItems containsBlank="1" containsNumber="1" containsMixedTypes="1" count="34">
        <n v="15.25"/>
        <n v="15.5"/>
        <n v="16.75"/>
        <n v="20.5"/>
        <n v="1250"/>
        <n v="1575"/>
        <n v="1600"/>
        <n v="1625"/>
        <n v="1650"/>
        <n v="1700"/>
        <n v="1800"/>
        <n v="1875"/>
        <n v="2025"/>
        <n v="2150"/>
        <n v="2225"/>
        <n v="2325"/>
        <n v="2375"/>
        <n v="2450"/>
        <n v="2575"/>
        <n v="2675"/>
        <n v="2775"/>
        <n v="2800"/>
        <n v="2950"/>
        <n v="2975"/>
        <n v="3075"/>
        <n v="3350"/>
        <n v="3375"/>
        <n v="3400"/>
        <n v="3450"/>
        <n v="3475"/>
        <n v="4600"/>
        <n v="4900"/>
        <s v="Total:"/>
        <m/>
      </sharedItems>
    </cacheField>
    <cacheField name="Total " numFmtId="0">
      <sharedItems containsString="0" containsBlank="1" containsNumber="1" minValue="0" maxValue="255083.791" count="41">
        <n v="714.4545"/>
        <n v="738.888"/>
        <n v="741.11625"/>
        <n v="743.54625"/>
        <n v="954.7185"/>
        <n v="1489.257"/>
        <n v="1613.01525"/>
        <n v="1703.02725"/>
        <n v="1886.5545"/>
        <n v="1948.846"/>
        <n v="2007.208"/>
        <n v="2225.062"/>
        <n v="2516.34425"/>
        <n v="2563.934"/>
        <n v="3686.67"/>
        <n v="3733.15775"/>
        <n v="4217.15575"/>
        <n v="4321.896"/>
        <n v="4950"/>
        <n v="5326.594"/>
        <n v="5422.626"/>
        <n v="5809.264"/>
        <n v="6061.7625"/>
        <n v="6560"/>
        <n v="6820"/>
        <n v="7653.04325"/>
        <n v="7882.485"/>
        <n v="8804.59875"/>
        <n v="9161.056"/>
        <n v="9900"/>
        <n v="9937.7595"/>
        <n v="10341.39375"/>
        <n v="12454.704"/>
        <n v="12505"/>
        <n v="13963.955"/>
        <n v="17980"/>
        <n v="18090"/>
        <n v="18787.1355"/>
        <n v="18867.5625"/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25"/>
    <x v="2"/>
    <x v="5"/>
    <x v="2"/>
    <x v="32"/>
    <x v="16"/>
    <x v="39"/>
    <x v="2"/>
    <x v="33"/>
    <x v="40"/>
  </r>
  <r>
    <x v="39"/>
    <x v="16"/>
    <x v="2"/>
    <x v="5"/>
    <x v="2"/>
    <x v="32"/>
    <x v="16"/>
    <x v="39"/>
    <x v="2"/>
    <x v="33"/>
    <x v="40"/>
  </r>
  <r>
    <x v="0"/>
    <x v="5"/>
    <x v="1"/>
    <x v="0"/>
    <x v="0"/>
    <x v="5"/>
    <x v="1"/>
    <x v="1"/>
    <x v="1"/>
    <x v="27"/>
    <x v="1"/>
  </r>
  <r>
    <x v="1"/>
    <x v="10"/>
    <x v="1"/>
    <x v="0"/>
    <x v="0"/>
    <x v="14"/>
    <x v="15"/>
    <x v="29"/>
    <x v="1"/>
    <x v="16"/>
    <x v="34"/>
  </r>
  <r>
    <x v="2"/>
    <x v="11"/>
    <x v="1"/>
    <x v="0"/>
    <x v="0"/>
    <x v="12"/>
    <x v="3"/>
    <x v="12"/>
    <x v="1"/>
    <x v="23"/>
    <x v="12"/>
  </r>
  <r>
    <x v="3"/>
    <x v="13"/>
    <x v="1"/>
    <x v="0"/>
    <x v="0"/>
    <x v="10"/>
    <x v="1"/>
    <x v="4"/>
    <x v="1"/>
    <x v="28"/>
    <x v="4"/>
  </r>
  <r>
    <x v="4"/>
    <x v="14"/>
    <x v="1"/>
    <x v="0"/>
    <x v="0"/>
    <x v="22"/>
    <x v="1"/>
    <x v="6"/>
    <x v="1"/>
    <x v="17"/>
    <x v="5"/>
  </r>
  <r>
    <x v="5"/>
    <x v="17"/>
    <x v="1"/>
    <x v="0"/>
    <x v="0"/>
    <x v="9"/>
    <x v="4"/>
    <x v="14"/>
    <x v="1"/>
    <x v="19"/>
    <x v="13"/>
  </r>
  <r>
    <x v="6"/>
    <x v="21"/>
    <x v="1"/>
    <x v="0"/>
    <x v="0"/>
    <x v="27"/>
    <x v="6"/>
    <x v="28"/>
    <x v="1"/>
    <x v="6"/>
    <x v="28"/>
  </r>
  <r>
    <x v="7"/>
    <x v="4"/>
    <x v="1"/>
    <x v="1"/>
    <x v="0"/>
    <x v="3"/>
    <x v="8"/>
    <x v="16"/>
    <x v="1"/>
    <x v="29"/>
    <x v="16"/>
  </r>
  <r>
    <x v="8"/>
    <x v="5"/>
    <x v="1"/>
    <x v="1"/>
    <x v="0"/>
    <x v="8"/>
    <x v="1"/>
    <x v="3"/>
    <x v="1"/>
    <x v="26"/>
    <x v="3"/>
  </r>
  <r>
    <x v="9"/>
    <x v="6"/>
    <x v="1"/>
    <x v="1"/>
    <x v="0"/>
    <x v="16"/>
    <x v="2"/>
    <x v="7"/>
    <x v="1"/>
    <x v="22"/>
    <x v="8"/>
  </r>
  <r>
    <x v="10"/>
    <x v="10"/>
    <x v="1"/>
    <x v="2"/>
    <x v="0"/>
    <x v="21"/>
    <x v="9"/>
    <x v="22"/>
    <x v="1"/>
    <x v="11"/>
    <x v="22"/>
  </r>
  <r>
    <x v="11"/>
    <x v="17"/>
    <x v="1"/>
    <x v="2"/>
    <x v="0"/>
    <x v="0"/>
    <x v="10"/>
    <x v="11"/>
    <x v="1"/>
    <x v="30"/>
    <x v="14"/>
  </r>
  <r>
    <x v="12"/>
    <x v="20"/>
    <x v="1"/>
    <x v="2"/>
    <x v="0"/>
    <x v="25"/>
    <x v="5"/>
    <x v="21"/>
    <x v="1"/>
    <x v="9"/>
    <x v="20"/>
  </r>
  <r>
    <x v="13"/>
    <x v="22"/>
    <x v="1"/>
    <x v="2"/>
    <x v="0"/>
    <x v="28"/>
    <x v="3"/>
    <x v="24"/>
    <x v="1"/>
    <x v="6"/>
    <x v="21"/>
  </r>
  <r>
    <x v="14"/>
    <x v="19"/>
    <x v="1"/>
    <x v="4"/>
    <x v="0"/>
    <x v="11"/>
    <x v="2"/>
    <x v="5"/>
    <x v="1"/>
    <x v="24"/>
    <x v="7"/>
  </r>
  <r>
    <x v="15"/>
    <x v="5"/>
    <x v="1"/>
    <x v="0"/>
    <x v="1"/>
    <x v="6"/>
    <x v="3"/>
    <x v="8"/>
    <x v="1"/>
    <x v="27"/>
    <x v="11"/>
  </r>
  <r>
    <x v="16"/>
    <x v="9"/>
    <x v="1"/>
    <x v="0"/>
    <x v="1"/>
    <x v="15"/>
    <x v="12"/>
    <x v="23"/>
    <x v="1"/>
    <x v="14"/>
    <x v="25"/>
  </r>
  <r>
    <x v="17"/>
    <x v="10"/>
    <x v="1"/>
    <x v="0"/>
    <x v="1"/>
    <x v="19"/>
    <x v="12"/>
    <x v="25"/>
    <x v="1"/>
    <x v="12"/>
    <x v="27"/>
  </r>
  <r>
    <x v="18"/>
    <x v="12"/>
    <x v="1"/>
    <x v="0"/>
    <x v="1"/>
    <x v="18"/>
    <x v="5"/>
    <x v="18"/>
    <x v="1"/>
    <x v="20"/>
    <x v="17"/>
  </r>
  <r>
    <x v="19"/>
    <x v="14"/>
    <x v="1"/>
    <x v="0"/>
    <x v="1"/>
    <x v="24"/>
    <x v="1"/>
    <x v="9"/>
    <x v="1"/>
    <x v="15"/>
    <x v="6"/>
  </r>
  <r>
    <x v="20"/>
    <x v="17"/>
    <x v="1"/>
    <x v="0"/>
    <x v="1"/>
    <x v="13"/>
    <x v="6"/>
    <x v="17"/>
    <x v="1"/>
    <x v="18"/>
    <x v="15"/>
  </r>
  <r>
    <x v="21"/>
    <x v="18"/>
    <x v="1"/>
    <x v="0"/>
    <x v="1"/>
    <x v="23"/>
    <x v="11"/>
    <x v="31"/>
    <x v="1"/>
    <x v="10"/>
    <x v="32"/>
  </r>
  <r>
    <x v="22"/>
    <x v="23"/>
    <x v="1"/>
    <x v="0"/>
    <x v="1"/>
    <x v="31"/>
    <x v="7"/>
    <x v="33"/>
    <x v="1"/>
    <x v="4"/>
    <x v="38"/>
  </r>
  <r>
    <x v="23"/>
    <x v="4"/>
    <x v="1"/>
    <x v="1"/>
    <x v="1"/>
    <x v="4"/>
    <x v="14"/>
    <x v="19"/>
    <x v="1"/>
    <x v="28"/>
    <x v="30"/>
  </r>
  <r>
    <x v="24"/>
    <x v="5"/>
    <x v="1"/>
    <x v="1"/>
    <x v="1"/>
    <x v="7"/>
    <x v="1"/>
    <x v="2"/>
    <x v="1"/>
    <x v="26"/>
    <x v="2"/>
  </r>
  <r>
    <x v="25"/>
    <x v="6"/>
    <x v="1"/>
    <x v="1"/>
    <x v="1"/>
    <x v="17"/>
    <x v="2"/>
    <x v="10"/>
    <x v="1"/>
    <x v="21"/>
    <x v="10"/>
  </r>
  <r>
    <x v="26"/>
    <x v="15"/>
    <x v="1"/>
    <x v="2"/>
    <x v="1"/>
    <x v="29"/>
    <x v="0"/>
    <x v="13"/>
    <x v="1"/>
    <x v="13"/>
    <x v="9"/>
  </r>
  <r>
    <x v="27"/>
    <x v="17"/>
    <x v="1"/>
    <x v="2"/>
    <x v="1"/>
    <x v="1"/>
    <x v="12"/>
    <x v="15"/>
    <x v="1"/>
    <x v="31"/>
    <x v="19"/>
  </r>
  <r>
    <x v="28"/>
    <x v="20"/>
    <x v="1"/>
    <x v="2"/>
    <x v="1"/>
    <x v="26"/>
    <x v="7"/>
    <x v="26"/>
    <x v="1"/>
    <x v="7"/>
    <x v="26"/>
  </r>
  <r>
    <x v="29"/>
    <x v="24"/>
    <x v="1"/>
    <x v="2"/>
    <x v="1"/>
    <x v="30"/>
    <x v="6"/>
    <x v="32"/>
    <x v="1"/>
    <x v="5"/>
    <x v="37"/>
  </r>
  <r>
    <x v="30"/>
    <x v="9"/>
    <x v="1"/>
    <x v="3"/>
    <x v="1"/>
    <x v="2"/>
    <x v="2"/>
    <x v="0"/>
    <x v="1"/>
    <x v="25"/>
    <x v="0"/>
  </r>
  <r>
    <x v="31"/>
    <x v="10"/>
    <x v="1"/>
    <x v="3"/>
    <x v="1"/>
    <x v="20"/>
    <x v="13"/>
    <x v="27"/>
    <x v="1"/>
    <x v="11"/>
    <x v="31"/>
  </r>
  <r>
    <x v="32"/>
    <x v="8"/>
    <x v="1"/>
    <x v="5"/>
    <x v="0"/>
    <x v="32"/>
    <x v="16"/>
    <x v="20"/>
    <x v="1"/>
    <x v="8"/>
    <x v="18"/>
  </r>
  <r>
    <x v="33"/>
    <x v="8"/>
    <x v="1"/>
    <x v="5"/>
    <x v="1"/>
    <x v="32"/>
    <x v="16"/>
    <x v="30"/>
    <x v="1"/>
    <x v="8"/>
    <x v="29"/>
  </r>
  <r>
    <x v="39"/>
    <x v="7"/>
    <x v="2"/>
    <x v="5"/>
    <x v="2"/>
    <x v="32"/>
    <x v="16"/>
    <x v="39"/>
    <x v="2"/>
    <x v="33"/>
    <x v="40"/>
  </r>
  <r>
    <x v="34"/>
    <x v="0"/>
    <x v="0"/>
    <x v="4"/>
    <x v="0"/>
    <x v="32"/>
    <x v="16"/>
    <x v="36"/>
    <x v="0"/>
    <x v="0"/>
    <x v="33"/>
  </r>
  <r>
    <x v="35"/>
    <x v="1"/>
    <x v="0"/>
    <x v="4"/>
    <x v="0"/>
    <x v="32"/>
    <x v="16"/>
    <x v="35"/>
    <x v="0"/>
    <x v="1"/>
    <x v="24"/>
  </r>
  <r>
    <x v="36"/>
    <x v="3"/>
    <x v="0"/>
    <x v="4"/>
    <x v="1"/>
    <x v="32"/>
    <x v="16"/>
    <x v="34"/>
    <x v="0"/>
    <x v="3"/>
    <x v="23"/>
  </r>
  <r>
    <x v="37"/>
    <x v="2"/>
    <x v="0"/>
    <x v="4"/>
    <x v="1"/>
    <x v="32"/>
    <x v="16"/>
    <x v="37"/>
    <x v="0"/>
    <x v="2"/>
    <x v="36"/>
  </r>
  <r>
    <x v="38"/>
    <x v="1"/>
    <x v="0"/>
    <x v="4"/>
    <x v="1"/>
    <x v="32"/>
    <x v="16"/>
    <x v="38"/>
    <x v="0"/>
    <x v="1"/>
    <x v="35"/>
  </r>
  <r>
    <x v="39"/>
    <x v="25"/>
    <x v="2"/>
    <x v="5"/>
    <x v="2"/>
    <x v="32"/>
    <x v="16"/>
    <x v="39"/>
    <x v="2"/>
    <x v="32"/>
    <x v="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compact="0" indent="0" outline="1" compactData="0" outlineData="1" showDrill="1">
  <location ref="M4:O11" firstHeaderRow="1" firstDataRow="1" firstDataCol="2"/>
  <pivotFields count="11">
    <pivotField compact="0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compact="0" showAll="0"/>
    <pivotField axis="axisRow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4">
        <item x="2"/>
        <item x="0"/>
        <item x="1"/>
        <item t="default"/>
      </items>
    </pivotField>
    <pivotField compact="0" showAll="0"/>
    <pivotField compact="0" showAll="0"/>
    <pivotField dataField="1" compact="0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compact="0" showAll="0"/>
    <pivotField compact="0" showAll="0"/>
    <pivotField compact="0" showAll="0"/>
  </pivotFields>
  <rowFields count="2">
    <field x="4"/>
    <field x="2"/>
  </rowFields>
  <colItems count="1">
    <i/>
  </colItems>
  <dataFields count="1">
    <dataField name="Sum of QTY" fld="7" baseField="0" baseItem="0" numFmtId="187"/>
  </dataFields>
  <pivotTableStyleInfo name="PivotStyleLight16" showRowHeaders="1" showColHeaders="1" showLastColumn="1"/>
</pivotTableDefinition>
</file>

<file path=xl/tables/table1.xml><?xml version="1.0" encoding="utf-8"?>
<table xmlns="http://schemas.openxmlformats.org/spreadsheetml/2006/main" id="2" name="Table18" displayName="Table18" ref="A2:K45" totalsRowShown="0">
  <autoFilter xmlns:etc="http://www.wps.cn/officeDocument/2017/etCustomData" ref="A2:K45" etc:filterBottomFollowUsedRange="0"/>
  <tableColumns count="11">
    <tableColumn id="1" name="Column1"/>
    <tableColumn id="2" name="Item"/>
    <tableColumn id="3" name="Column12"/>
    <tableColumn id="4" name="Column122"/>
    <tableColumn id="5" name="Column1222"/>
    <tableColumn id="6" name="Column12222"/>
    <tableColumn id="7" name="Pcs"/>
    <tableColumn id="8" name="QTY"/>
    <tableColumn id="9" name="Unit"/>
    <tableColumn id="10" name="Rate "/>
    <tableColumn id="11" name="Column12222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e14" displayName="Table14" ref="B13:N89" totalsRowShown="0">
  <autoFilter xmlns:etc="http://www.wps.cn/officeDocument/2017/etCustomData" ref="B13:N89" etc:filterBottomFollowUsedRange="0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B2:R35"/>
  <sheetViews>
    <sheetView showGridLines="0" view="pageBreakPreview" zoomScale="86" zoomScalePageLayoutView="86" zoomScaleNormal="86" workbookViewId="0">
      <selection activeCell="A17" sqref="$A17:$XFD17"/>
    </sheetView>
  </sheetViews>
  <sheetFormatPr defaultColWidth="8.82857142857143" defaultRowHeight="15"/>
  <cols>
    <col min="1" max="1" width="2.26666666666667" style="158" customWidth="1"/>
    <col min="2" max="2" width="8.81904761904762" style="158"/>
    <col min="3" max="3" width="24.2666666666667" style="155" customWidth="1"/>
    <col min="4" max="4" width="17.2761904761905" style="155" customWidth="1"/>
    <col min="5" max="5" width="19.2761904761905" style="159" customWidth="1"/>
    <col min="6" max="6" width="15.8285714285714" style="160" customWidth="1"/>
    <col min="7" max="7" width="19.7238095238095" style="161" customWidth="1"/>
    <col min="8" max="8" width="36.8190476190476" style="158" customWidth="1"/>
    <col min="9" max="9" width="1.26666666666667" style="158" customWidth="1"/>
    <col min="10" max="10" width="1.46666666666667" style="158" customWidth="1"/>
    <col min="11" max="11" width="0.819047619047619" style="158" customWidth="1"/>
    <col min="12" max="1024" width="8.81904761904762" style="158"/>
  </cols>
  <sheetData>
    <row r="2" s="153" customFormat="1" ht="34.5" customHeight="1" spans="2:8">
      <c r="B2" s="162" t="s">
        <v>0</v>
      </c>
      <c r="C2" s="162"/>
      <c r="D2" s="162"/>
      <c r="E2" s="162"/>
      <c r="F2" s="162"/>
      <c r="G2" s="162"/>
      <c r="H2" s="162"/>
    </row>
    <row r="3" s="154" customFormat="1" ht="24.75" customHeight="1" spans="2:5">
      <c r="B3" s="163" t="s">
        <v>1</v>
      </c>
      <c r="E3" s="164"/>
    </row>
    <row r="4" s="155" customFormat="1" ht="18.75" customHeight="1" spans="2:5">
      <c r="B4" s="165" t="s">
        <v>2</v>
      </c>
      <c r="E4" s="159"/>
    </row>
    <row r="5" s="155" customFormat="1" ht="18.75" customHeight="1" spans="2:5">
      <c r="B5" s="166" t="s">
        <v>3</v>
      </c>
      <c r="C5" s="166"/>
      <c r="E5" s="159"/>
    </row>
    <row r="6" s="155" customFormat="1" ht="18.75" customHeight="1" spans="2:8">
      <c r="B6" s="167" t="s">
        <v>4</v>
      </c>
      <c r="C6" s="168"/>
      <c r="D6" s="168"/>
      <c r="E6" s="169"/>
      <c r="F6" s="168"/>
      <c r="G6" s="168"/>
      <c r="H6" s="168"/>
    </row>
    <row r="7" s="154" customFormat="1" ht="13.5" customHeight="1" spans="2:5">
      <c r="B7" s="170"/>
      <c r="E7" s="164"/>
    </row>
    <row r="8" ht="25.15" customHeight="1" spans="2:9">
      <c r="B8" s="171" t="s">
        <v>5</v>
      </c>
      <c r="C8" s="171"/>
      <c r="D8" s="172"/>
      <c r="E8" s="173"/>
      <c r="F8" s="174" t="s">
        <v>6</v>
      </c>
      <c r="G8" s="174"/>
      <c r="H8" s="175" t="s">
        <v>7</v>
      </c>
      <c r="I8" s="188"/>
    </row>
    <row r="9" s="156" customFormat="1" ht="25.15" customHeight="1" spans="2:9">
      <c r="B9" s="176" t="s">
        <v>8</v>
      </c>
      <c r="C9" s="176"/>
      <c r="D9" s="176"/>
      <c r="E9" s="177"/>
      <c r="F9" s="178" t="s">
        <v>9</v>
      </c>
      <c r="G9" s="178"/>
      <c r="H9" s="179">
        <v>1</v>
      </c>
      <c r="I9" s="237"/>
    </row>
    <row r="10" s="156" customFormat="1" ht="25.15" customHeight="1" spans="2:9">
      <c r="B10" s="176" t="s">
        <v>10</v>
      </c>
      <c r="C10" s="180"/>
      <c r="D10" s="180"/>
      <c r="E10" s="177"/>
      <c r="F10" s="178" t="s">
        <v>11</v>
      </c>
      <c r="G10" s="178"/>
      <c r="H10" s="181">
        <v>45565</v>
      </c>
      <c r="I10" s="188"/>
    </row>
    <row r="11" s="156" customFormat="1" ht="25.15" customHeight="1" spans="2:9">
      <c r="B11" s="176" t="s">
        <v>12</v>
      </c>
      <c r="C11" s="180"/>
      <c r="D11" s="180"/>
      <c r="E11" s="177"/>
      <c r="F11" s="178" t="s">
        <v>13</v>
      </c>
      <c r="G11" s="178"/>
      <c r="H11" s="181"/>
      <c r="I11" s="188"/>
    </row>
    <row r="12" s="156" customFormat="1" ht="25.15" customHeight="1" spans="2:13">
      <c r="B12" s="182"/>
      <c r="C12" s="183"/>
      <c r="D12" s="183"/>
      <c r="E12" s="177"/>
      <c r="F12" s="184" t="s">
        <v>14</v>
      </c>
      <c r="G12" s="184"/>
      <c r="H12" s="185">
        <f>H10+30</f>
        <v>45595</v>
      </c>
      <c r="I12" s="188"/>
      <c r="M12" s="238"/>
    </row>
    <row r="13" s="156" customFormat="1" ht="19.9" customHeight="1" spans="2:13">
      <c r="B13" s="186"/>
      <c r="D13" s="187"/>
      <c r="E13" s="177"/>
      <c r="F13" s="186"/>
      <c r="G13" s="186"/>
      <c r="H13" s="188"/>
      <c r="I13" s="188"/>
      <c r="M13" s="238"/>
    </row>
    <row r="14" s="156" customFormat="1" ht="40.15" customHeight="1" spans="2:9">
      <c r="B14" s="189" t="s">
        <v>15</v>
      </c>
      <c r="C14" s="190" t="s">
        <v>16</v>
      </c>
      <c r="D14" s="190" t="s">
        <v>17</v>
      </c>
      <c r="E14" s="191" t="s">
        <v>18</v>
      </c>
      <c r="F14" s="192" t="s">
        <v>19</v>
      </c>
      <c r="G14" s="193" t="s">
        <v>20</v>
      </c>
      <c r="H14" s="194" t="s">
        <v>21</v>
      </c>
      <c r="I14" s="194"/>
    </row>
    <row r="15" s="156" customFormat="1" ht="39.75" customHeight="1" spans="2:9">
      <c r="B15" s="195"/>
      <c r="C15" s="196"/>
      <c r="D15" s="197"/>
      <c r="E15" s="198"/>
      <c r="F15" s="199"/>
      <c r="G15" s="198"/>
      <c r="H15" s="200"/>
      <c r="I15" s="200"/>
    </row>
    <row r="16" s="156" customFormat="1" ht="39.75" customHeight="1" spans="2:9">
      <c r="B16" s="201"/>
      <c r="C16" s="202"/>
      <c r="D16" s="203"/>
      <c r="E16" s="198"/>
      <c r="F16" s="199"/>
      <c r="G16" s="198"/>
      <c r="H16" s="200"/>
      <c r="I16" s="200"/>
    </row>
    <row r="17" s="156" customFormat="1" ht="39.75" customHeight="1" spans="2:9">
      <c r="B17" s="201"/>
      <c r="C17" s="204"/>
      <c r="D17" s="205"/>
      <c r="E17" s="198"/>
      <c r="F17" s="199"/>
      <c r="G17" s="198"/>
      <c r="H17" s="200"/>
      <c r="I17" s="200"/>
    </row>
    <row r="18" s="156" customFormat="1" ht="39.75" customHeight="1" spans="2:9">
      <c r="B18" s="201" t="str">
        <f t="shared" ref="B16:B23" si="0">IF(C18="","",B17+1)</f>
        <v/>
      </c>
      <c r="C18" s="206"/>
      <c r="D18" s="203"/>
      <c r="E18" s="198"/>
      <c r="F18" s="199"/>
      <c r="G18" s="198"/>
      <c r="H18" s="200"/>
      <c r="I18" s="200"/>
    </row>
    <row r="19" s="156" customFormat="1" ht="39.75" customHeight="1" spans="2:9">
      <c r="B19" s="201" t="str">
        <f t="shared" si="0"/>
        <v/>
      </c>
      <c r="C19" s="207"/>
      <c r="D19" s="208"/>
      <c r="E19" s="198"/>
      <c r="F19" s="199"/>
      <c r="G19" s="198"/>
      <c r="H19" s="200"/>
      <c r="I19" s="211"/>
    </row>
    <row r="20" s="156" customFormat="1" ht="39.75" customHeight="1" spans="2:9">
      <c r="B20" s="201" t="str">
        <f t="shared" si="0"/>
        <v/>
      </c>
      <c r="C20" s="207"/>
      <c r="D20" s="208"/>
      <c r="E20" s="209"/>
      <c r="F20" s="199"/>
      <c r="G20" s="209"/>
      <c r="H20" s="200"/>
      <c r="I20" s="211"/>
    </row>
    <row r="21" s="156" customFormat="1" ht="39.75" customHeight="1" spans="2:9">
      <c r="B21" s="201" t="str">
        <f t="shared" si="0"/>
        <v/>
      </c>
      <c r="C21" s="207"/>
      <c r="D21" s="208"/>
      <c r="E21" s="210"/>
      <c r="F21" s="199"/>
      <c r="G21" s="210"/>
      <c r="H21" s="211"/>
      <c r="I21" s="211"/>
    </row>
    <row r="22" s="156" customFormat="1" ht="39.75" customHeight="1" spans="2:9">
      <c r="B22" s="201" t="str">
        <f t="shared" si="0"/>
        <v/>
      </c>
      <c r="C22" s="207"/>
      <c r="D22" s="208"/>
      <c r="E22" s="210"/>
      <c r="F22" s="199"/>
      <c r="G22" s="210"/>
      <c r="H22" s="211"/>
      <c r="I22" s="211"/>
    </row>
    <row r="23" s="156" customFormat="1" ht="39.75" customHeight="1" spans="2:9">
      <c r="B23" s="201" t="str">
        <f t="shared" si="0"/>
        <v/>
      </c>
      <c r="C23" s="212"/>
      <c r="D23" s="212"/>
      <c r="E23" s="213"/>
      <c r="F23" s="199"/>
      <c r="G23" s="213"/>
      <c r="H23" s="214"/>
      <c r="I23" s="214"/>
    </row>
    <row r="24" s="157" customFormat="1" ht="40.5" customHeight="1" spans="2:9">
      <c r="B24" s="215"/>
      <c r="C24" s="216"/>
      <c r="D24" s="217" t="s">
        <v>18</v>
      </c>
      <c r="E24" s="218">
        <f>SUM(E12:E23)</f>
        <v>0</v>
      </c>
      <c r="F24" s="219" t="s">
        <v>22</v>
      </c>
      <c r="G24" s="218">
        <f>SUM(G12:G23)</f>
        <v>0</v>
      </c>
      <c r="H24" s="220"/>
      <c r="I24" s="220"/>
    </row>
    <row r="25" s="156" customFormat="1" customHeight="1" spans="2:9">
      <c r="B25" s="221"/>
      <c r="C25" s="221"/>
      <c r="D25" s="222"/>
      <c r="E25" s="223"/>
      <c r="F25" s="224"/>
      <c r="G25" s="225"/>
      <c r="H25" s="226"/>
      <c r="I25" s="226"/>
    </row>
    <row r="26" s="157" customFormat="1" ht="30" customHeight="1" spans="2:9">
      <c r="B26" s="187"/>
      <c r="C26" s="187"/>
      <c r="D26" s="227"/>
      <c r="E26" s="228"/>
      <c r="F26" s="174" t="s">
        <v>23</v>
      </c>
      <c r="G26" s="174"/>
      <c r="H26" s="229" t="e">
        <f>G24/E24</f>
        <v>#DIV/0!</v>
      </c>
      <c r="I26" s="229"/>
    </row>
    <row r="27" s="157" customFormat="1" ht="30" customHeight="1" spans="2:18">
      <c r="B27" s="187"/>
      <c r="C27" s="187"/>
      <c r="D27" s="227"/>
      <c r="E27" s="228"/>
      <c r="F27" s="178" t="s">
        <v>22</v>
      </c>
      <c r="G27" s="178"/>
      <c r="H27" s="230">
        <f>G24</f>
        <v>0</v>
      </c>
      <c r="I27" s="230"/>
      <c r="R27" s="157" t="s">
        <v>24</v>
      </c>
    </row>
    <row r="28" s="157" customFormat="1" ht="30" customHeight="1" spans="2:9">
      <c r="B28" s="187"/>
      <c r="C28" s="187"/>
      <c r="D28" s="187"/>
      <c r="E28" s="231"/>
      <c r="F28" s="178" t="s">
        <v>25</v>
      </c>
      <c r="G28" s="178"/>
      <c r="H28" s="232">
        <f>-G24*0%</f>
        <v>0</v>
      </c>
      <c r="I28" s="232"/>
    </row>
    <row r="29" s="157" customFormat="1" ht="30" customHeight="1" spans="4:9">
      <c r="D29" s="187"/>
      <c r="E29" s="159"/>
      <c r="F29" s="233" t="s">
        <v>26</v>
      </c>
      <c r="G29" s="233"/>
      <c r="H29" s="232">
        <v>0</v>
      </c>
      <c r="I29" s="232"/>
    </row>
    <row r="30" s="157" customFormat="1" ht="30" customHeight="1" spans="4:9">
      <c r="D30" s="187"/>
      <c r="E30" s="159"/>
      <c r="F30" s="234" t="s">
        <v>27</v>
      </c>
      <c r="G30" s="234"/>
      <c r="H30" s="235">
        <f>SUM(H27:H29)</f>
        <v>0</v>
      </c>
      <c r="I30" s="235"/>
    </row>
    <row r="31" s="156" customFormat="1" ht="27" customHeight="1" spans="4:5">
      <c r="D31" s="236"/>
      <c r="E31" s="159"/>
    </row>
    <row r="32" s="156" customFormat="1" ht="27" customHeight="1" spans="4:5">
      <c r="D32" s="187"/>
      <c r="E32" s="159"/>
    </row>
    <row r="33" s="156" customFormat="1" ht="16.9" customHeight="1" spans="5:17">
      <c r="E33" s="159"/>
      <c r="F33" s="160"/>
      <c r="G33" s="161"/>
      <c r="H33" s="158"/>
      <c r="I33" s="158"/>
      <c r="Q33" s="156" t="s">
        <v>24</v>
      </c>
    </row>
    <row r="34" s="156" customFormat="1" ht="12.75" spans="3:9">
      <c r="C34" s="187"/>
      <c r="D34" s="187"/>
      <c r="E34" s="159"/>
      <c r="F34" s="160"/>
      <c r="G34" s="161"/>
      <c r="H34" s="158"/>
      <c r="I34" s="158"/>
    </row>
    <row r="35" spans="2:10">
      <c r="B35" s="156"/>
      <c r="C35" s="187"/>
      <c r="D35" s="187"/>
      <c r="J35" s="158" t="s">
        <v>24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orizontalCentered="1"/>
  <pageMargins left="0.25" right="0.25" top="0.75" bottom="0.75" header="0.511805555555555" footer="0.3"/>
  <pageSetup paperSize="1" scale="67" firstPageNumber="0" orientation="portrait" useFirstPageNumber="1" horizontalDpi="300" verticalDpi="300"/>
  <headerFooter>
    <oddFooter>&amp;L
&amp;1#&amp;10 Classification: Official</oddFooter>
  </headerFooter>
  <rowBreaks count="1" manualBreakCount="1">
    <brk id="4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B2:O34"/>
  <sheetViews>
    <sheetView showGridLines="0" view="pageBreakPreview" zoomScale="90" zoomScalePageLayoutView="90" zoomScaleNormal="100" workbookViewId="0">
      <selection activeCell="A8" sqref="$A8:$XFD8"/>
    </sheetView>
  </sheetViews>
  <sheetFormatPr defaultColWidth="9.18095238095238" defaultRowHeight="16.5"/>
  <cols>
    <col min="1" max="1" width="3.45714285714286" style="129" customWidth="1"/>
    <col min="2" max="2" width="19.9142857142857" style="130" customWidth="1"/>
    <col min="3" max="3" width="16.8285714285714" style="130" customWidth="1"/>
    <col min="4" max="5" width="16.8285714285714" style="129" customWidth="1"/>
    <col min="6" max="6" width="16.8285714285714" style="131" customWidth="1"/>
    <col min="7" max="7" width="16.8285714285714" style="132" customWidth="1"/>
    <col min="8" max="8" width="16.8285714285714" style="133" customWidth="1"/>
    <col min="9" max="9" width="16.8285714285714" style="132" customWidth="1"/>
    <col min="10" max="10" width="24.1809523809524" style="132" customWidth="1"/>
    <col min="11" max="11" width="5.81904761904762" style="129" customWidth="1"/>
    <col min="12" max="12" width="9.18095238095238" style="129"/>
    <col min="13" max="13" width="13.7238095238095" style="129" hidden="1" customWidth="1"/>
    <col min="14" max="15" width="9.18095238095238" style="129"/>
    <col min="16" max="16" width="16.8285714285714" style="129" customWidth="1"/>
    <col min="17" max="1024" width="9.18095238095238" style="129"/>
  </cols>
  <sheetData>
    <row r="2" ht="24.75" customHeight="1" spans="2:10">
      <c r="B2" s="134" t="s">
        <v>28</v>
      </c>
      <c r="C2" s="134"/>
      <c r="D2" s="134"/>
      <c r="E2" s="134"/>
      <c r="F2" s="134"/>
      <c r="G2" s="134"/>
      <c r="H2" s="134"/>
      <c r="I2" s="134"/>
      <c r="J2" s="134"/>
    </row>
    <row r="4" ht="29.25" customHeight="1" spans="2:10">
      <c r="B4" s="135" t="s">
        <v>29</v>
      </c>
      <c r="C4" s="135" t="s">
        <v>17</v>
      </c>
      <c r="D4" s="136" t="s">
        <v>30</v>
      </c>
      <c r="E4" s="136" t="s">
        <v>31</v>
      </c>
      <c r="F4" s="137" t="s">
        <v>32</v>
      </c>
      <c r="G4" s="138" t="s">
        <v>33</v>
      </c>
      <c r="H4" s="139" t="s">
        <v>34</v>
      </c>
      <c r="I4" s="138" t="s">
        <v>35</v>
      </c>
      <c r="J4" s="138" t="s">
        <v>36</v>
      </c>
    </row>
    <row r="5" ht="29.25" customHeight="1" spans="2:15">
      <c r="B5" s="140"/>
      <c r="C5" s="141"/>
      <c r="D5" s="142"/>
      <c r="E5" s="143"/>
      <c r="F5" s="144"/>
      <c r="G5" s="145"/>
      <c r="H5" s="146"/>
      <c r="I5" s="151"/>
      <c r="J5" s="151"/>
      <c r="O5" s="152"/>
    </row>
    <row r="6" ht="29.25" customHeight="1" spans="2:15">
      <c r="B6" s="140"/>
      <c r="C6" s="141"/>
      <c r="D6" s="142"/>
      <c r="E6" s="143"/>
      <c r="F6" s="144"/>
      <c r="G6" s="145"/>
      <c r="H6" s="146"/>
      <c r="I6" s="151"/>
      <c r="J6" s="151"/>
      <c r="O6" s="152"/>
    </row>
    <row r="7" ht="29.25" customHeight="1" spans="2:15">
      <c r="B7" s="140"/>
      <c r="C7" s="141"/>
      <c r="D7" s="142"/>
      <c r="E7" s="143"/>
      <c r="F7" s="144"/>
      <c r="G7" s="145"/>
      <c r="H7" s="146"/>
      <c r="I7" s="151"/>
      <c r="J7" s="151"/>
      <c r="O7" s="152"/>
    </row>
    <row r="8" ht="29.25" customHeight="1" spans="2:15">
      <c r="B8" s="140"/>
      <c r="C8" s="141"/>
      <c r="D8" s="142"/>
      <c r="E8" s="143"/>
      <c r="F8" s="144"/>
      <c r="G8" s="145"/>
      <c r="H8" s="146"/>
      <c r="I8" s="151"/>
      <c r="J8" s="151"/>
      <c r="O8" s="152"/>
    </row>
    <row r="9" ht="29.25" customHeight="1" spans="2:15">
      <c r="B9" s="140"/>
      <c r="C9" s="141"/>
      <c r="D9" s="142"/>
      <c r="E9" s="143"/>
      <c r="F9" s="144"/>
      <c r="G9" s="145"/>
      <c r="H9" s="146"/>
      <c r="I9" s="151"/>
      <c r="J9" s="151"/>
      <c r="O9" s="152"/>
    </row>
    <row r="10" ht="29.25" customHeight="1" spans="2:15">
      <c r="B10" s="140"/>
      <c r="C10" s="141"/>
      <c r="D10" s="142"/>
      <c r="E10" s="143"/>
      <c r="F10" s="144"/>
      <c r="G10" s="145"/>
      <c r="H10" s="146"/>
      <c r="I10" s="151"/>
      <c r="J10" s="151"/>
      <c r="O10" s="152"/>
    </row>
    <row r="11" ht="29.25" customHeight="1" spans="2:15">
      <c r="B11" s="140"/>
      <c r="C11" s="141"/>
      <c r="D11" s="142"/>
      <c r="E11" s="143"/>
      <c r="F11" s="144"/>
      <c r="G11" s="145"/>
      <c r="H11" s="146"/>
      <c r="I11" s="151"/>
      <c r="J11" s="151"/>
      <c r="O11" s="152"/>
    </row>
    <row r="12" ht="29.25" customHeight="1" spans="2:15">
      <c r="B12" s="140"/>
      <c r="C12" s="141"/>
      <c r="D12" s="142"/>
      <c r="E12" s="143"/>
      <c r="F12" s="144"/>
      <c r="G12" s="145"/>
      <c r="H12" s="146"/>
      <c r="I12" s="151"/>
      <c r="J12" s="151"/>
      <c r="O12" s="152"/>
    </row>
    <row r="13" ht="29.25" customHeight="1" spans="2:15">
      <c r="B13" s="140"/>
      <c r="C13" s="141"/>
      <c r="D13" s="142"/>
      <c r="E13" s="143"/>
      <c r="F13" s="144"/>
      <c r="G13" s="145"/>
      <c r="H13" s="146"/>
      <c r="I13" s="151"/>
      <c r="J13" s="151"/>
      <c r="O13" s="152"/>
    </row>
    <row r="14" ht="29.25" customHeight="1" spans="2:15">
      <c r="B14" s="140"/>
      <c r="C14" s="141"/>
      <c r="D14" s="142"/>
      <c r="E14" s="143"/>
      <c r="F14" s="144"/>
      <c r="G14" s="145"/>
      <c r="H14" s="146"/>
      <c r="I14" s="151"/>
      <c r="J14" s="151"/>
      <c r="O14" s="152"/>
    </row>
    <row r="15" ht="29.25" customHeight="1" spans="2:15">
      <c r="B15" s="140"/>
      <c r="C15" s="141"/>
      <c r="D15" s="142"/>
      <c r="E15" s="143"/>
      <c r="F15" s="144"/>
      <c r="G15" s="145"/>
      <c r="H15" s="146"/>
      <c r="I15" s="151"/>
      <c r="J15" s="151"/>
      <c r="O15" s="152"/>
    </row>
    <row r="16" ht="29.25" customHeight="1" spans="2:15">
      <c r="B16" s="140"/>
      <c r="C16" s="141"/>
      <c r="D16" s="142"/>
      <c r="E16" s="143"/>
      <c r="F16" s="144"/>
      <c r="G16" s="145"/>
      <c r="H16" s="146"/>
      <c r="I16" s="151"/>
      <c r="J16" s="151"/>
      <c r="O16" s="152"/>
    </row>
    <row r="17" ht="29.25" customHeight="1" spans="2:15">
      <c r="B17" s="140"/>
      <c r="C17" s="141"/>
      <c r="D17" s="142"/>
      <c r="E17" s="143"/>
      <c r="F17" s="144"/>
      <c r="G17" s="145"/>
      <c r="H17" s="146"/>
      <c r="I17" s="151"/>
      <c r="J17" s="151"/>
      <c r="O17" s="152"/>
    </row>
    <row r="18" ht="29.25" customHeight="1" spans="2:15">
      <c r="B18" s="140"/>
      <c r="C18" s="141"/>
      <c r="D18" s="142"/>
      <c r="E18" s="143"/>
      <c r="F18" s="144"/>
      <c r="G18" s="145"/>
      <c r="H18" s="146"/>
      <c r="I18" s="151"/>
      <c r="J18" s="151"/>
      <c r="O18" s="152"/>
    </row>
    <row r="19" ht="29.25" customHeight="1" spans="2:15">
      <c r="B19" s="140"/>
      <c r="C19" s="141"/>
      <c r="D19" s="142"/>
      <c r="E19" s="143"/>
      <c r="F19" s="144"/>
      <c r="G19" s="145"/>
      <c r="H19" s="146"/>
      <c r="I19" s="151"/>
      <c r="J19" s="151"/>
      <c r="O19" s="152"/>
    </row>
    <row r="20" ht="29.25" customHeight="1" spans="2:15">
      <c r="B20" s="140"/>
      <c r="C20" s="141"/>
      <c r="D20" s="142"/>
      <c r="E20" s="143"/>
      <c r="F20" s="144"/>
      <c r="G20" s="145"/>
      <c r="H20" s="146"/>
      <c r="I20" s="151"/>
      <c r="J20" s="151"/>
      <c r="O20" s="152"/>
    </row>
    <row r="21" ht="29.25" customHeight="1" spans="2:15">
      <c r="B21" s="140"/>
      <c r="C21" s="141"/>
      <c r="D21" s="142"/>
      <c r="E21" s="143"/>
      <c r="F21" s="144"/>
      <c r="G21" s="145"/>
      <c r="H21" s="146"/>
      <c r="I21" s="151"/>
      <c r="J21" s="151"/>
      <c r="O21" s="152"/>
    </row>
    <row r="22" ht="29.25" customHeight="1" spans="2:15">
      <c r="B22" s="140"/>
      <c r="C22" s="141"/>
      <c r="D22" s="142"/>
      <c r="E22" s="143"/>
      <c r="F22" s="144"/>
      <c r="G22" s="145"/>
      <c r="H22" s="146"/>
      <c r="I22" s="151"/>
      <c r="J22" s="151"/>
      <c r="O22" s="152"/>
    </row>
    <row r="23" ht="29.25" customHeight="1" spans="2:15">
      <c r="B23" s="140"/>
      <c r="C23" s="141"/>
      <c r="D23" s="142"/>
      <c r="E23" s="143"/>
      <c r="F23" s="144"/>
      <c r="G23" s="145"/>
      <c r="H23" s="146"/>
      <c r="I23" s="151"/>
      <c r="J23" s="151"/>
      <c r="O23" s="152"/>
    </row>
    <row r="24" ht="29.25" customHeight="1" spans="2:15">
      <c r="B24" s="140"/>
      <c r="C24" s="141"/>
      <c r="D24" s="142"/>
      <c r="E24" s="143"/>
      <c r="F24" s="144"/>
      <c r="G24" s="145"/>
      <c r="H24" s="146"/>
      <c r="I24" s="151"/>
      <c r="J24" s="151"/>
      <c r="O24" s="152"/>
    </row>
    <row r="25" ht="29.25" customHeight="1" spans="2:15">
      <c r="B25" s="140"/>
      <c r="C25" s="141"/>
      <c r="D25" s="142"/>
      <c r="E25" s="143"/>
      <c r="F25" s="144"/>
      <c r="G25" s="145"/>
      <c r="H25" s="146"/>
      <c r="I25" s="151"/>
      <c r="J25" s="151"/>
      <c r="O25" s="152"/>
    </row>
    <row r="26" ht="29.25" customHeight="1" spans="2:15">
      <c r="B26" s="140"/>
      <c r="C26" s="141"/>
      <c r="D26" s="142"/>
      <c r="E26" s="143"/>
      <c r="F26" s="144"/>
      <c r="G26" s="145"/>
      <c r="H26" s="146"/>
      <c r="I26" s="151"/>
      <c r="J26" s="151"/>
      <c r="O26" s="152"/>
    </row>
    <row r="27" ht="29.25" customHeight="1" spans="2:15">
      <c r="B27" s="140"/>
      <c r="C27" s="141"/>
      <c r="D27" s="142"/>
      <c r="E27" s="143"/>
      <c r="F27" s="144"/>
      <c r="G27" s="145"/>
      <c r="H27" s="146"/>
      <c r="I27" s="151"/>
      <c r="J27" s="151"/>
      <c r="O27" s="152"/>
    </row>
    <row r="28" ht="29.25" customHeight="1" spans="2:15">
      <c r="B28" s="140"/>
      <c r="C28" s="141"/>
      <c r="D28" s="142"/>
      <c r="E28" s="143"/>
      <c r="F28" s="144"/>
      <c r="G28" s="145"/>
      <c r="H28" s="146"/>
      <c r="I28" s="151"/>
      <c r="J28" s="151"/>
      <c r="O28" s="152"/>
    </row>
    <row r="29" ht="29.25" customHeight="1" spans="2:15">
      <c r="B29" s="140"/>
      <c r="C29" s="141"/>
      <c r="D29" s="142"/>
      <c r="E29" s="143"/>
      <c r="F29" s="144"/>
      <c r="G29" s="145"/>
      <c r="H29" s="146"/>
      <c r="I29" s="151"/>
      <c r="J29" s="151"/>
      <c r="O29" s="152"/>
    </row>
    <row r="30" s="128" customFormat="1" ht="27" customHeight="1" spans="2:10">
      <c r="B30" s="147"/>
      <c r="C30" s="147"/>
      <c r="D30" s="147"/>
      <c r="E30" s="147"/>
      <c r="F30" s="148"/>
      <c r="G30" s="149">
        <f>SUM(G5:G8)</f>
        <v>0</v>
      </c>
      <c r="H30" s="150" t="e">
        <f>I30/G30</f>
        <v>#DIV/0!</v>
      </c>
      <c r="I30" s="149">
        <f>SUM(I5:I8)</f>
        <v>0</v>
      </c>
      <c r="J30" s="149"/>
    </row>
    <row r="31" spans="7:7">
      <c r="G31" s="132" t="s">
        <v>24</v>
      </c>
    </row>
    <row r="34" spans="4:4">
      <c r="D34" s="129" t="s">
        <v>24</v>
      </c>
    </row>
  </sheetData>
  <mergeCells count="1">
    <mergeCell ref="B2:J2"/>
  </mergeCells>
  <pageMargins left="0.7" right="0.7" top="0.75" bottom="0.75" header="0.511805555555555" footer="0.511805555555555"/>
  <pageSetup paperSize="9" scale="51" firstPageNumber="0" orientation="portrait" useFirstPageNumber="1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A2:BE45"/>
  <sheetViews>
    <sheetView showGridLines="0" tabSelected="1" view="pageBreakPreview" zoomScale="80" zoomScalePageLayoutView="80" zoomScaleNormal="100" topLeftCell="A26" workbookViewId="0">
      <selection activeCell="J35" sqref="J35"/>
    </sheetView>
  </sheetViews>
  <sheetFormatPr defaultColWidth="8.82857142857143" defaultRowHeight="15"/>
  <cols>
    <col min="1" max="1" width="10.447619047619" style="77" customWidth="1"/>
    <col min="2" max="2" width="23.1809523809524" style="78" customWidth="1"/>
    <col min="3" max="3" width="13.447619047619" style="79" customWidth="1"/>
    <col min="4" max="4" width="11.447619047619" style="79" customWidth="1"/>
    <col min="5" max="5" width="11.5428571428571" style="79" customWidth="1"/>
    <col min="6" max="6" width="11.5428571428571" style="80" customWidth="1"/>
    <col min="7" max="7" width="8.63809523809524" style="79" customWidth="1"/>
    <col min="8" max="8" width="9.44761904761905" style="81" customWidth="1"/>
    <col min="9" max="9" width="9.18095238095238" style="82" customWidth="1"/>
    <col min="10" max="10" width="11.7238095238095" style="83" customWidth="1"/>
    <col min="11" max="11" width="13.0857142857143" style="83" customWidth="1"/>
    <col min="12" max="12" width="24.8190476190476" customWidth="1"/>
    <col min="13" max="13" width="14.2666666666667" hidden="1" customWidth="1"/>
    <col min="14" max="14" width="11.2666666666667" hidden="1" customWidth="1"/>
    <col min="15" max="15" width="20.447619047619" style="84" hidden="1" customWidth="1"/>
    <col min="16" max="20" width="9.14285714285714" style="78" hidden="1" customWidth="1"/>
    <col min="21" max="1024" width="8.81904761904762" style="78"/>
  </cols>
  <sheetData>
    <row r="2" s="74" customFormat="1" ht="26.5" customHeight="1" spans="1:15">
      <c r="A2" s="85" t="s">
        <v>37</v>
      </c>
      <c r="B2" s="85" t="s">
        <v>29</v>
      </c>
      <c r="C2" s="85" t="s">
        <v>38</v>
      </c>
      <c r="D2" s="85" t="s">
        <v>39</v>
      </c>
      <c r="E2" s="85" t="s">
        <v>40</v>
      </c>
      <c r="F2" s="86" t="s">
        <v>41</v>
      </c>
      <c r="G2" s="87" t="s">
        <v>42</v>
      </c>
      <c r="H2" s="87" t="s">
        <v>30</v>
      </c>
      <c r="I2" s="101" t="s">
        <v>43</v>
      </c>
      <c r="J2" s="102" t="s">
        <v>44</v>
      </c>
      <c r="K2" s="102" t="s">
        <v>45</v>
      </c>
      <c r="O2" s="103"/>
    </row>
    <row r="3" s="75" customFormat="1" ht="10.5" customHeight="1" spans="1:57">
      <c r="A3" s="88"/>
      <c r="B3" s="89"/>
      <c r="C3" s="89"/>
      <c r="D3" s="89"/>
      <c r="E3" s="90"/>
      <c r="F3" s="91"/>
      <c r="G3" s="92"/>
      <c r="H3" s="92"/>
      <c r="I3" s="104"/>
      <c r="J3" s="105"/>
      <c r="K3" s="105"/>
      <c r="BE3" s="126" t="s">
        <v>46</v>
      </c>
    </row>
    <row r="4" s="75" customFormat="1" ht="33" customHeight="1" spans="1:57">
      <c r="A4" s="88"/>
      <c r="B4" s="93" t="s">
        <v>47</v>
      </c>
      <c r="C4" s="89"/>
      <c r="D4" s="89"/>
      <c r="E4" s="90"/>
      <c r="F4" s="91"/>
      <c r="G4" s="92"/>
      <c r="H4" s="92"/>
      <c r="I4" s="104"/>
      <c r="J4" s="105"/>
      <c r="K4" s="105"/>
      <c r="M4" s="106" t="s">
        <v>17</v>
      </c>
      <c r="N4" s="107" t="s">
        <v>48</v>
      </c>
      <c r="O4" s="108" t="s">
        <v>49</v>
      </c>
      <c r="BE4" s="126" t="s">
        <v>50</v>
      </c>
    </row>
    <row r="5" s="75" customFormat="1" ht="33" customHeight="1" spans="1:57">
      <c r="A5" s="88"/>
      <c r="B5" s="89"/>
      <c r="C5" s="89"/>
      <c r="D5" s="89"/>
      <c r="E5" s="90"/>
      <c r="F5" s="91"/>
      <c r="G5" s="94">
        <v>2</v>
      </c>
      <c r="H5" s="92">
        <v>0.21732</v>
      </c>
      <c r="I5" s="104" t="s">
        <v>51</v>
      </c>
      <c r="J5" s="105"/>
      <c r="K5" s="105"/>
      <c r="M5" s="109" t="s">
        <v>52</v>
      </c>
      <c r="N5" s="110"/>
      <c r="O5" s="111">
        <v>1290.99362</v>
      </c>
      <c r="BE5" s="126" t="s">
        <v>53</v>
      </c>
    </row>
    <row r="6" s="75" customFormat="1" ht="33" customHeight="1" spans="1:57">
      <c r="A6" s="88"/>
      <c r="B6" s="89"/>
      <c r="C6" s="89"/>
      <c r="D6" s="89"/>
      <c r="E6" s="90"/>
      <c r="F6" s="91"/>
      <c r="G6" s="94">
        <v>40</v>
      </c>
      <c r="H6" s="92">
        <v>5.87956</v>
      </c>
      <c r="I6" s="104" t="s">
        <v>51</v>
      </c>
      <c r="J6" s="105">
        <v>2375</v>
      </c>
      <c r="K6" s="105"/>
      <c r="M6" s="112"/>
      <c r="N6" s="113" t="s">
        <v>54</v>
      </c>
      <c r="O6" s="114">
        <v>1260</v>
      </c>
      <c r="BE6" s="126" t="s">
        <v>55</v>
      </c>
    </row>
    <row r="7" s="75" customFormat="1" ht="33" customHeight="1" spans="1:57">
      <c r="A7" s="88"/>
      <c r="B7" s="89"/>
      <c r="C7" s="89"/>
      <c r="D7" s="89"/>
      <c r="E7" s="90"/>
      <c r="F7" s="91"/>
      <c r="G7" s="94">
        <v>6</v>
      </c>
      <c r="H7" s="92">
        <v>0.84583</v>
      </c>
      <c r="I7" s="104" t="s">
        <v>51</v>
      </c>
      <c r="J7" s="105">
        <v>2975</v>
      </c>
      <c r="K7" s="105"/>
      <c r="M7" s="115"/>
      <c r="N7" s="116" t="s">
        <v>56</v>
      </c>
      <c r="O7" s="117">
        <v>30.99362</v>
      </c>
      <c r="BE7" s="126"/>
    </row>
    <row r="8" s="75" customFormat="1" ht="33" customHeight="1" spans="1:57">
      <c r="A8" s="88"/>
      <c r="B8" s="89"/>
      <c r="C8" s="89"/>
      <c r="D8" s="89"/>
      <c r="E8" s="90"/>
      <c r="F8" s="91"/>
      <c r="G8" s="94">
        <v>2</v>
      </c>
      <c r="H8" s="92">
        <v>0.27673</v>
      </c>
      <c r="I8" s="104" t="s">
        <v>51</v>
      </c>
      <c r="J8" s="105">
        <v>3450</v>
      </c>
      <c r="K8" s="105"/>
      <c r="M8" s="109" t="s">
        <v>57</v>
      </c>
      <c r="N8" s="110"/>
      <c r="O8" s="111">
        <v>2628.4745</v>
      </c>
      <c r="BE8" s="126"/>
    </row>
    <row r="9" s="75" customFormat="1" ht="33" customHeight="1" spans="1:57">
      <c r="A9" s="88"/>
      <c r="B9" s="89"/>
      <c r="C9" s="89"/>
      <c r="D9" s="89"/>
      <c r="E9" s="90"/>
      <c r="F9" s="91"/>
      <c r="G9" s="94">
        <v>2</v>
      </c>
      <c r="H9" s="92">
        <v>0.60786</v>
      </c>
      <c r="I9" s="104" t="s">
        <v>51</v>
      </c>
      <c r="J9" s="105">
        <v>2450</v>
      </c>
      <c r="K9" s="105"/>
      <c r="M9" s="112"/>
      <c r="N9" s="113" t="s">
        <v>54</v>
      </c>
      <c r="O9" s="114">
        <v>2560</v>
      </c>
      <c r="BE9" s="126"/>
    </row>
    <row r="10" s="75" customFormat="1" ht="33" customHeight="1" spans="1:57">
      <c r="A10" s="88"/>
      <c r="B10" s="89"/>
      <c r="C10" s="89"/>
      <c r="D10" s="89"/>
      <c r="E10" s="90"/>
      <c r="F10" s="91"/>
      <c r="G10" s="94">
        <v>7</v>
      </c>
      <c r="H10" s="92">
        <v>0.95848</v>
      </c>
      <c r="I10" s="104" t="s">
        <v>51</v>
      </c>
      <c r="J10" s="105">
        <v>2675</v>
      </c>
      <c r="K10" s="105"/>
      <c r="M10" s="115"/>
      <c r="N10" s="116" t="s">
        <v>56</v>
      </c>
      <c r="O10" s="117">
        <v>68.4745</v>
      </c>
      <c r="BE10" s="126"/>
    </row>
    <row r="11" s="75" customFormat="1" ht="33" customHeight="1" spans="1:57">
      <c r="A11" s="88"/>
      <c r="B11" s="89"/>
      <c r="C11" s="89"/>
      <c r="D11" s="89"/>
      <c r="E11" s="90"/>
      <c r="F11" s="91"/>
      <c r="G11" s="94">
        <v>10</v>
      </c>
      <c r="H11" s="92">
        <v>5.72566</v>
      </c>
      <c r="I11" s="104" t="s">
        <v>51</v>
      </c>
      <c r="J11" s="105">
        <v>1600</v>
      </c>
      <c r="K11" s="105"/>
      <c r="M11" s="118" t="s">
        <v>58</v>
      </c>
      <c r="N11" s="119"/>
      <c r="O11" s="120">
        <v>3919.46812</v>
      </c>
      <c r="BE11" s="126"/>
    </row>
    <row r="12" s="75" customFormat="1" ht="33" customHeight="1" spans="1:57">
      <c r="A12" s="88"/>
      <c r="B12" s="89"/>
      <c r="C12" s="89"/>
      <c r="D12" s="89"/>
      <c r="E12" s="90"/>
      <c r="F12" s="91"/>
      <c r="G12" s="94">
        <v>12</v>
      </c>
      <c r="H12" s="92">
        <v>1.21357</v>
      </c>
      <c r="I12" s="104" t="s">
        <v>51</v>
      </c>
      <c r="J12" s="105">
        <v>3475</v>
      </c>
      <c r="K12" s="105"/>
      <c r="BE12" s="126"/>
    </row>
    <row r="13" s="75" customFormat="1" ht="33" customHeight="1" spans="1:57">
      <c r="A13" s="88"/>
      <c r="B13" s="89"/>
      <c r="C13" s="89"/>
      <c r="D13" s="89"/>
      <c r="E13" s="90"/>
      <c r="F13" s="91"/>
      <c r="G13" s="94">
        <v>2</v>
      </c>
      <c r="H13" s="92">
        <v>0.22031</v>
      </c>
      <c r="I13" s="104" t="s">
        <v>51</v>
      </c>
      <c r="J13" s="105">
        <v>3375</v>
      </c>
      <c r="K13" s="105"/>
      <c r="BE13" s="126"/>
    </row>
    <row r="14" s="75" customFormat="1" ht="33" customHeight="1" spans="1:57">
      <c r="A14" s="88"/>
      <c r="B14" s="89"/>
      <c r="C14" s="89"/>
      <c r="D14" s="89"/>
      <c r="E14" s="90"/>
      <c r="F14" s="91"/>
      <c r="G14" s="94">
        <v>4</v>
      </c>
      <c r="H14" s="92">
        <v>0.63951</v>
      </c>
      <c r="I14" s="104" t="s">
        <v>51</v>
      </c>
      <c r="J14" s="105">
        <v>2950</v>
      </c>
      <c r="K14" s="105"/>
      <c r="BE14" s="126"/>
    </row>
    <row r="15" s="75" customFormat="1" ht="33" customHeight="1" spans="1:57">
      <c r="A15" s="88"/>
      <c r="B15" s="89"/>
      <c r="C15" s="89"/>
      <c r="D15" s="89"/>
      <c r="E15" s="90"/>
      <c r="F15" s="91"/>
      <c r="G15" s="94">
        <v>14</v>
      </c>
      <c r="H15" s="92">
        <v>3.23294</v>
      </c>
      <c r="I15" s="104" t="s">
        <v>51</v>
      </c>
      <c r="J15" s="105">
        <v>1875</v>
      </c>
      <c r="K15" s="105"/>
      <c r="BE15" s="126"/>
    </row>
    <row r="16" s="75" customFormat="1" ht="33" customHeight="1" spans="1:57">
      <c r="A16" s="88"/>
      <c r="B16" s="89"/>
      <c r="C16" s="89"/>
      <c r="D16" s="89"/>
      <c r="E16" s="90"/>
      <c r="F16" s="91"/>
      <c r="G16" s="94">
        <v>18</v>
      </c>
      <c r="H16" s="92">
        <v>0.80145</v>
      </c>
      <c r="I16" s="104" t="s">
        <v>51</v>
      </c>
      <c r="J16" s="105">
        <v>4600</v>
      </c>
      <c r="K16" s="105"/>
      <c r="BE16" s="126"/>
    </row>
    <row r="17" s="75" customFormat="1" ht="33" customHeight="1" spans="1:57">
      <c r="A17" s="88"/>
      <c r="B17" s="89"/>
      <c r="C17" s="89"/>
      <c r="D17" s="89"/>
      <c r="E17" s="90"/>
      <c r="F17" s="91"/>
      <c r="G17" s="94">
        <v>8</v>
      </c>
      <c r="H17" s="92">
        <v>3.18978</v>
      </c>
      <c r="I17" s="104" t="s">
        <v>51</v>
      </c>
      <c r="J17" s="105">
        <v>1700</v>
      </c>
      <c r="K17" s="105"/>
      <c r="BE17" s="126"/>
    </row>
    <row r="18" s="75" customFormat="1" ht="33" customHeight="1" spans="1:57">
      <c r="A18" s="88"/>
      <c r="B18" s="89"/>
      <c r="C18" s="89"/>
      <c r="D18" s="89"/>
      <c r="E18" s="90"/>
      <c r="F18" s="91"/>
      <c r="G18" s="94">
        <v>6</v>
      </c>
      <c r="H18" s="92">
        <v>3.63079</v>
      </c>
      <c r="I18" s="104" t="s">
        <v>51</v>
      </c>
      <c r="J18" s="105">
        <v>1600</v>
      </c>
      <c r="K18" s="105"/>
      <c r="BE18" s="126"/>
    </row>
    <row r="19" s="75" customFormat="1" ht="33" customHeight="1" spans="1:57">
      <c r="A19" s="88"/>
      <c r="B19" s="89"/>
      <c r="C19" s="89"/>
      <c r="D19" s="89"/>
      <c r="E19" s="90"/>
      <c r="F19" s="91"/>
      <c r="G19" s="94">
        <v>4</v>
      </c>
      <c r="H19" s="92">
        <v>0.55383</v>
      </c>
      <c r="I19" s="104" t="s">
        <v>51</v>
      </c>
      <c r="J19" s="105">
        <v>3075</v>
      </c>
      <c r="K19" s="105"/>
      <c r="BE19" s="126"/>
    </row>
    <row r="20" s="75" customFormat="1" ht="33" customHeight="1" spans="1:57">
      <c r="A20" s="88"/>
      <c r="B20" s="89"/>
      <c r="C20" s="89"/>
      <c r="D20" s="89"/>
      <c r="E20" s="90"/>
      <c r="F20" s="91"/>
      <c r="G20" s="94">
        <v>6</v>
      </c>
      <c r="H20" s="92">
        <v>0.65443</v>
      </c>
      <c r="I20" s="104" t="s">
        <v>51</v>
      </c>
      <c r="J20" s="105">
        <v>3400</v>
      </c>
      <c r="K20" s="105"/>
      <c r="BE20" s="126"/>
    </row>
    <row r="21" s="75" customFormat="1" ht="33" customHeight="1" spans="1:57">
      <c r="A21" s="88"/>
      <c r="B21" s="89"/>
      <c r="C21" s="89"/>
      <c r="D21" s="89"/>
      <c r="E21" s="90"/>
      <c r="F21" s="91"/>
      <c r="G21" s="94">
        <v>22</v>
      </c>
      <c r="H21" s="92">
        <v>3.43957</v>
      </c>
      <c r="I21" s="104" t="s">
        <v>51</v>
      </c>
      <c r="J21" s="105">
        <v>2225</v>
      </c>
      <c r="K21" s="105"/>
      <c r="BE21" s="126"/>
    </row>
    <row r="22" s="75" customFormat="1" ht="33" customHeight="1" spans="1:57">
      <c r="A22" s="88"/>
      <c r="B22" s="89"/>
      <c r="C22" s="89"/>
      <c r="D22" s="89"/>
      <c r="E22" s="90"/>
      <c r="F22" s="91"/>
      <c r="G22" s="94">
        <v>22</v>
      </c>
      <c r="H22" s="92">
        <v>4.34795</v>
      </c>
      <c r="I22" s="104" t="s">
        <v>51</v>
      </c>
      <c r="J22" s="105">
        <v>2025</v>
      </c>
      <c r="K22" s="105"/>
      <c r="M22" s="121"/>
      <c r="N22" s="122"/>
      <c r="O22" s="84"/>
      <c r="BE22" s="126"/>
    </row>
    <row r="23" s="75" customFormat="1" ht="33" customHeight="1" spans="1:57">
      <c r="A23" s="88"/>
      <c r="B23" s="89"/>
      <c r="C23" s="89"/>
      <c r="D23" s="89"/>
      <c r="E23" s="90"/>
      <c r="F23" s="91"/>
      <c r="G23" s="94">
        <v>8</v>
      </c>
      <c r="H23" s="92">
        <v>1.55744</v>
      </c>
      <c r="I23" s="104" t="s">
        <v>51</v>
      </c>
      <c r="J23" s="105">
        <v>2775</v>
      </c>
      <c r="K23" s="105"/>
      <c r="O23" s="84"/>
      <c r="BE23" s="126"/>
    </row>
    <row r="24" s="75" customFormat="1" ht="33" customHeight="1" spans="1:57">
      <c r="A24" s="88"/>
      <c r="B24" s="89"/>
      <c r="C24" s="89"/>
      <c r="D24" s="89"/>
      <c r="E24" s="90"/>
      <c r="F24" s="91"/>
      <c r="G24" s="94">
        <v>2</v>
      </c>
      <c r="H24" s="92">
        <v>0.69377</v>
      </c>
      <c r="I24" s="104" t="s">
        <v>51</v>
      </c>
      <c r="J24" s="105">
        <v>2325</v>
      </c>
      <c r="K24" s="105"/>
      <c r="O24" s="84"/>
      <c r="BE24" s="126"/>
    </row>
    <row r="25" s="75" customFormat="1" ht="33" customHeight="1" spans="1:57">
      <c r="A25" s="88"/>
      <c r="B25" s="89"/>
      <c r="C25" s="89"/>
      <c r="D25" s="89"/>
      <c r="E25" s="90"/>
      <c r="F25" s="91"/>
      <c r="G25" s="94">
        <v>10</v>
      </c>
      <c r="H25" s="92">
        <v>1.44977</v>
      </c>
      <c r="I25" s="104" t="s">
        <v>51</v>
      </c>
      <c r="J25" s="105">
        <v>2575</v>
      </c>
      <c r="K25" s="105"/>
      <c r="O25" s="84"/>
      <c r="BE25" s="126"/>
    </row>
    <row r="26" s="75" customFormat="1" ht="33" customHeight="1" spans="1:57">
      <c r="A26" s="88"/>
      <c r="B26" s="89"/>
      <c r="C26" s="89"/>
      <c r="D26" s="89"/>
      <c r="E26" s="90"/>
      <c r="F26" s="91"/>
      <c r="G26" s="94">
        <v>20</v>
      </c>
      <c r="H26" s="92">
        <v>6.91928</v>
      </c>
      <c r="I26" s="104" t="s">
        <v>51</v>
      </c>
      <c r="J26" s="105">
        <v>1800</v>
      </c>
      <c r="K26" s="105"/>
      <c r="O26" s="84"/>
      <c r="BE26" s="126"/>
    </row>
    <row r="27" s="75" customFormat="1" ht="33" customHeight="1" spans="1:57">
      <c r="A27" s="88"/>
      <c r="B27" s="89"/>
      <c r="C27" s="89"/>
      <c r="D27" s="89"/>
      <c r="E27" s="90"/>
      <c r="F27" s="91"/>
      <c r="G27" s="94">
        <v>11</v>
      </c>
      <c r="H27" s="92">
        <v>15.09405</v>
      </c>
      <c r="I27" s="104" t="s">
        <v>51</v>
      </c>
      <c r="J27" s="105">
        <v>1250</v>
      </c>
      <c r="K27" s="105"/>
      <c r="O27" s="84"/>
      <c r="BE27" s="126"/>
    </row>
    <row r="28" s="75" customFormat="1" ht="33" customHeight="1" spans="1:57">
      <c r="A28" s="88"/>
      <c r="B28" s="89"/>
      <c r="C28" s="89"/>
      <c r="D28" s="89"/>
      <c r="E28" s="90"/>
      <c r="F28" s="91"/>
      <c r="G28" s="94">
        <v>28</v>
      </c>
      <c r="H28" s="92">
        <v>2.88051</v>
      </c>
      <c r="I28" s="104" t="s">
        <v>51</v>
      </c>
      <c r="J28" s="105">
        <v>3450</v>
      </c>
      <c r="K28" s="105"/>
      <c r="O28" s="84"/>
      <c r="BE28" s="126"/>
    </row>
    <row r="29" s="75" customFormat="1" ht="33" customHeight="1" spans="1:57">
      <c r="A29" s="88"/>
      <c r="B29" s="89"/>
      <c r="C29" s="89"/>
      <c r="D29" s="89"/>
      <c r="E29" s="90"/>
      <c r="F29" s="91"/>
      <c r="G29" s="94">
        <v>2</v>
      </c>
      <c r="H29" s="92">
        <v>0.21959</v>
      </c>
      <c r="I29" s="104" t="s">
        <v>51</v>
      </c>
      <c r="J29" s="105">
        <v>3375</v>
      </c>
      <c r="K29" s="105"/>
      <c r="O29" s="84"/>
      <c r="BE29" s="126"/>
    </row>
    <row r="30" s="75" customFormat="1" ht="33" customHeight="1" spans="1:57">
      <c r="A30" s="88"/>
      <c r="B30" s="89"/>
      <c r="C30" s="89"/>
      <c r="D30" s="89"/>
      <c r="E30" s="90"/>
      <c r="F30" s="91"/>
      <c r="G30" s="94">
        <v>4</v>
      </c>
      <c r="H30" s="92">
        <v>0.71686</v>
      </c>
      <c r="I30" s="104" t="s">
        <v>51</v>
      </c>
      <c r="J30" s="105">
        <v>2800</v>
      </c>
      <c r="K30" s="105"/>
      <c r="O30" s="84"/>
      <c r="BE30" s="126"/>
    </row>
    <row r="31" s="75" customFormat="1" ht="33" customHeight="1" spans="1:57">
      <c r="A31" s="88"/>
      <c r="B31" s="89"/>
      <c r="C31" s="89"/>
      <c r="D31" s="89"/>
      <c r="E31" s="90"/>
      <c r="F31" s="91"/>
      <c r="G31" s="94">
        <v>1</v>
      </c>
      <c r="H31" s="92">
        <v>0.90644</v>
      </c>
      <c r="I31" s="104" t="s">
        <v>51</v>
      </c>
      <c r="J31" s="105">
        <v>2150</v>
      </c>
      <c r="K31" s="105"/>
      <c r="O31" s="84"/>
      <c r="BE31" s="126"/>
    </row>
    <row r="32" s="75" customFormat="1" ht="33" customHeight="1" spans="1:57">
      <c r="A32" s="88"/>
      <c r="B32" s="89"/>
      <c r="C32" s="89"/>
      <c r="D32" s="89"/>
      <c r="E32" s="90"/>
      <c r="F32" s="91"/>
      <c r="G32" s="94">
        <v>22</v>
      </c>
      <c r="H32" s="92">
        <v>1.08706</v>
      </c>
      <c r="I32" s="104" t="s">
        <v>51</v>
      </c>
      <c r="J32" s="105">
        <v>4900</v>
      </c>
      <c r="K32" s="105"/>
      <c r="O32" s="84"/>
      <c r="BE32" s="126"/>
    </row>
    <row r="33" s="75" customFormat="1" ht="33" customHeight="1" spans="1:57">
      <c r="A33" s="88"/>
      <c r="B33" s="89"/>
      <c r="C33" s="89"/>
      <c r="D33" s="89"/>
      <c r="E33" s="90"/>
      <c r="F33" s="91"/>
      <c r="G33" s="94">
        <v>11</v>
      </c>
      <c r="H33" s="92">
        <v>4.85076</v>
      </c>
      <c r="I33" s="104" t="s">
        <v>51</v>
      </c>
      <c r="J33" s="105">
        <v>1625</v>
      </c>
      <c r="K33" s="105"/>
      <c r="O33" s="84"/>
      <c r="BE33" s="126"/>
    </row>
    <row r="34" s="75" customFormat="1" ht="33" customHeight="1" spans="1:57">
      <c r="A34" s="88"/>
      <c r="B34" s="89"/>
      <c r="C34" s="89"/>
      <c r="D34" s="89"/>
      <c r="E34" s="90"/>
      <c r="F34" s="91"/>
      <c r="G34" s="94">
        <v>10</v>
      </c>
      <c r="H34" s="92">
        <v>11.92834</v>
      </c>
      <c r="I34" s="104" t="s">
        <v>51</v>
      </c>
      <c r="J34" s="105">
        <v>1575</v>
      </c>
      <c r="K34" s="105"/>
      <c r="O34" s="84"/>
      <c r="BE34" s="126"/>
    </row>
    <row r="35" s="75" customFormat="1" ht="33" customHeight="1" spans="1:57">
      <c r="A35" s="88"/>
      <c r="B35" s="89"/>
      <c r="C35" s="89"/>
      <c r="D35" s="89"/>
      <c r="E35" s="90"/>
      <c r="F35" s="91"/>
      <c r="G35" s="94">
        <v>4</v>
      </c>
      <c r="H35" s="92">
        <v>0.21327</v>
      </c>
      <c r="I35" s="104" t="s">
        <v>51</v>
      </c>
      <c r="J35" s="105">
        <v>3350</v>
      </c>
      <c r="K35" s="105"/>
      <c r="O35" s="84"/>
      <c r="BE35" s="126"/>
    </row>
    <row r="36" s="75" customFormat="1" ht="33" customHeight="1" spans="1:57">
      <c r="A36" s="88"/>
      <c r="B36" s="89"/>
      <c r="C36" s="89"/>
      <c r="D36" s="89"/>
      <c r="E36" s="90"/>
      <c r="F36" s="91"/>
      <c r="G36" s="94">
        <v>24</v>
      </c>
      <c r="H36" s="92">
        <v>5.51541</v>
      </c>
      <c r="I36" s="104" t="s">
        <v>51</v>
      </c>
      <c r="J36" s="105"/>
      <c r="K36" s="105"/>
      <c r="O36" s="84"/>
      <c r="BE36" s="126"/>
    </row>
    <row r="37" s="75" customFormat="1" ht="33" customHeight="1" spans="1:57">
      <c r="A37" s="88"/>
      <c r="B37" s="89"/>
      <c r="C37" s="89"/>
      <c r="D37" s="89"/>
      <c r="E37" s="90"/>
      <c r="F37" s="91"/>
      <c r="G37" s="94"/>
      <c r="H37" s="92">
        <v>3</v>
      </c>
      <c r="I37" s="104" t="s">
        <v>51</v>
      </c>
      <c r="J37" s="105"/>
      <c r="K37" s="105"/>
      <c r="O37" s="84"/>
      <c r="BE37" s="126"/>
    </row>
    <row r="38" s="75" customFormat="1" ht="33" customHeight="1" spans="1:57">
      <c r="A38" s="88"/>
      <c r="B38" s="89"/>
      <c r="C38" s="89"/>
      <c r="D38" s="89"/>
      <c r="E38" s="90"/>
      <c r="F38" s="91"/>
      <c r="G38" s="94"/>
      <c r="H38" s="92">
        <v>6</v>
      </c>
      <c r="I38" s="104" t="s">
        <v>51</v>
      </c>
      <c r="J38" s="105"/>
      <c r="K38" s="105"/>
      <c r="O38" s="84"/>
      <c r="BE38" s="126"/>
    </row>
    <row r="39" s="75" customFormat="1" ht="33" customHeight="1" spans="1:57">
      <c r="A39" s="88"/>
      <c r="B39" s="93" t="s">
        <v>59</v>
      </c>
      <c r="C39" s="89"/>
      <c r="D39" s="89"/>
      <c r="E39" s="90"/>
      <c r="F39" s="91"/>
      <c r="G39" s="94"/>
      <c r="H39" s="92"/>
      <c r="I39" s="104"/>
      <c r="J39" s="105"/>
      <c r="K39" s="105"/>
      <c r="O39" s="84"/>
      <c r="BE39" s="126"/>
    </row>
    <row r="40" s="75" customFormat="1" ht="33" customHeight="1" spans="1:57">
      <c r="A40" s="88"/>
      <c r="B40" s="89"/>
      <c r="C40" s="89"/>
      <c r="D40" s="89"/>
      <c r="E40" s="90"/>
      <c r="F40" s="91"/>
      <c r="G40" s="94"/>
      <c r="H40" s="92">
        <v>820</v>
      </c>
      <c r="I40" s="104" t="s">
        <v>60</v>
      </c>
      <c r="J40" s="105"/>
      <c r="K40" s="105"/>
      <c r="O40" s="84"/>
      <c r="BE40" s="126"/>
    </row>
    <row r="41" s="75" customFormat="1" ht="33" customHeight="1" spans="1:57">
      <c r="A41" s="88"/>
      <c r="B41" s="89"/>
      <c r="C41" s="89"/>
      <c r="D41" s="89"/>
      <c r="E41" s="90"/>
      <c r="F41" s="91"/>
      <c r="G41" s="94"/>
      <c r="H41" s="92">
        <v>440</v>
      </c>
      <c r="I41" s="104" t="s">
        <v>60</v>
      </c>
      <c r="J41" s="105"/>
      <c r="K41" s="105"/>
      <c r="O41" s="84"/>
      <c r="BE41" s="126"/>
    </row>
    <row r="42" s="75" customFormat="1" ht="33" customHeight="1" spans="1:57">
      <c r="A42" s="88"/>
      <c r="B42" s="89"/>
      <c r="C42" s="89"/>
      <c r="D42" s="89"/>
      <c r="E42" s="90"/>
      <c r="F42" s="91"/>
      <c r="G42" s="94"/>
      <c r="H42" s="92">
        <v>320</v>
      </c>
      <c r="I42" s="104" t="s">
        <v>60</v>
      </c>
      <c r="J42" s="105"/>
      <c r="K42" s="105"/>
      <c r="O42" s="84"/>
      <c r="BE42" s="126"/>
    </row>
    <row r="43" s="75" customFormat="1" ht="33" customHeight="1" spans="1:57">
      <c r="A43" s="88"/>
      <c r="B43" s="89"/>
      <c r="C43" s="89"/>
      <c r="D43" s="89"/>
      <c r="E43" s="90"/>
      <c r="F43" s="91"/>
      <c r="G43" s="94"/>
      <c r="H43" s="92">
        <v>1080</v>
      </c>
      <c r="I43" s="104" t="s">
        <v>60</v>
      </c>
      <c r="J43" s="105"/>
      <c r="K43" s="105"/>
      <c r="O43" s="84"/>
      <c r="BE43" s="126"/>
    </row>
    <row r="44" s="75" customFormat="1" ht="33" customHeight="1" spans="1:57">
      <c r="A44" s="88"/>
      <c r="B44" s="89"/>
      <c r="C44" s="89"/>
      <c r="D44" s="89"/>
      <c r="E44" s="90"/>
      <c r="F44" s="91"/>
      <c r="G44" s="94"/>
      <c r="H44" s="92">
        <v>1160</v>
      </c>
      <c r="I44" s="104" t="s">
        <v>60</v>
      </c>
      <c r="J44" s="105"/>
      <c r="K44" s="105"/>
      <c r="O44" s="84"/>
      <c r="BE44" s="126"/>
    </row>
    <row r="45" s="76" customFormat="1" ht="33" customHeight="1" spans="1:57">
      <c r="A45" s="95"/>
      <c r="B45" s="96"/>
      <c r="C45" s="96"/>
      <c r="D45" s="96"/>
      <c r="E45" s="97"/>
      <c r="F45" s="98"/>
      <c r="G45" s="99"/>
      <c r="H45" s="100"/>
      <c r="I45" s="123"/>
      <c r="J45" s="124" t="s">
        <v>61</v>
      </c>
      <c r="K45" s="124"/>
      <c r="O45" s="125"/>
      <c r="BE45" s="127"/>
    </row>
  </sheetData>
  <pageMargins left="0.7" right="0.7" top="0.75" bottom="0.75" header="0.511805555555555" footer="0.511805555555555"/>
  <pageSetup paperSize="9" scale="53" firstPageNumber="0" orientation="portrait" useFirstPageNumber="1" horizontalDpi="300" verticalDpi="300"/>
  <headerFooter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B1:N89"/>
  <sheetViews>
    <sheetView showGridLines="0" view="pageBreakPreview" zoomScale="30" zoomScalePageLayoutView="30" zoomScaleNormal="40" topLeftCell="A16" workbookViewId="0">
      <selection activeCell="F16" sqref="$A17:$XFD17 F16"/>
    </sheetView>
  </sheetViews>
  <sheetFormatPr defaultColWidth="8.82857142857143" defaultRowHeight="15"/>
  <cols>
    <col min="1" max="1" width="6" style="5" customWidth="1"/>
    <col min="2" max="2" width="21.552380952381" style="6" customWidth="1"/>
    <col min="3" max="3" width="21.552380952381" style="7" customWidth="1"/>
    <col min="4" max="4" width="184.809523809524" style="5" customWidth="1"/>
    <col min="5" max="5" width="36.5428571428571" style="8" customWidth="1"/>
    <col min="6" max="8" width="32" style="9" customWidth="1"/>
    <col min="9" max="9" width="28.8095238095238" style="9" customWidth="1"/>
    <col min="10" max="10" width="39" style="8" customWidth="1"/>
    <col min="11" max="11" width="69.4571428571429" style="10" customWidth="1"/>
    <col min="12" max="12" width="38.8190476190476" style="11" customWidth="1"/>
    <col min="13" max="13" width="33.7333333333333" style="12" customWidth="1"/>
    <col min="14" max="14" width="42.2666666666667" style="12" customWidth="1"/>
    <col min="15" max="15" width="36.1809523809524" style="5" customWidth="1"/>
    <col min="16" max="33" width="8.81904761904762" style="5"/>
    <col min="34" max="34" width="19.8285714285714" style="5" customWidth="1"/>
    <col min="35" max="35" width="9.44761904761905" style="5" customWidth="1"/>
    <col min="36" max="1024" width="8.81904761904762" style="5"/>
  </cols>
  <sheetData>
    <row r="1" ht="15.65" customHeight="1"/>
    <row r="2" ht="48.65" customHeight="1" spans="9:12">
      <c r="I2" s="33" t="s">
        <v>6</v>
      </c>
      <c r="J2" s="33"/>
      <c r="K2" s="33" t="str">
        <f>'AFP Summary'!H8</f>
        <v>Doncaster Unit 02 &amp; 03</v>
      </c>
      <c r="L2" s="34"/>
    </row>
    <row r="3" ht="48.65" customHeight="1" spans="9:12">
      <c r="I3" s="35" t="s">
        <v>5</v>
      </c>
      <c r="J3" s="36"/>
      <c r="K3" s="37" t="str">
        <f>'AFP Summary'!B9</f>
        <v>Fit Out (UK) Ltd</v>
      </c>
      <c r="L3" s="38"/>
    </row>
    <row r="4" ht="48.65" customHeight="1" spans="5:12">
      <c r="E4" s="8" t="s">
        <v>24</v>
      </c>
      <c r="I4" s="35" t="s">
        <v>62</v>
      </c>
      <c r="J4" s="39"/>
      <c r="K4" s="40">
        <f>SUM(Table14[Value £])</f>
        <v>5000</v>
      </c>
      <c r="L4" s="38"/>
    </row>
    <row r="5" ht="48.65" customHeight="1" spans="3:12">
      <c r="C5" s="13"/>
      <c r="I5" s="35" t="s">
        <v>63</v>
      </c>
      <c r="J5" s="39"/>
      <c r="K5" s="40">
        <f>SUMIF(Table14[Status],"Agreed",Table14[Value £])</f>
        <v>0</v>
      </c>
      <c r="L5" s="38"/>
    </row>
    <row r="6" ht="48.65" customHeight="1" spans="3:12">
      <c r="C6" s="14" t="s">
        <v>64</v>
      </c>
      <c r="I6" s="35" t="s">
        <v>65</v>
      </c>
      <c r="J6" s="39"/>
      <c r="K6" s="40">
        <f>K4-K5</f>
        <v>5000</v>
      </c>
      <c r="L6" s="38"/>
    </row>
    <row r="7" ht="48.65" customHeight="1" spans="3:12">
      <c r="C7" s="14"/>
      <c r="I7" s="35" t="s">
        <v>66</v>
      </c>
      <c r="J7" s="39"/>
      <c r="K7" s="40">
        <f>SUM(M14:M91)</f>
        <v>0</v>
      </c>
      <c r="L7" s="38"/>
    </row>
    <row r="8" ht="48.65" customHeight="1" spans="3:12">
      <c r="C8" s="15" t="s">
        <v>1</v>
      </c>
      <c r="D8" s="16"/>
      <c r="I8" s="35" t="s">
        <v>67</v>
      </c>
      <c r="J8" s="39"/>
      <c r="K8" s="41">
        <f>IFERROR(K5/K4,"")</f>
        <v>0</v>
      </c>
      <c r="L8" s="38"/>
    </row>
    <row r="9" s="1" customFormat="1" ht="48.65" customHeight="1" spans="2:14">
      <c r="B9" s="17"/>
      <c r="C9" s="18" t="s">
        <v>2</v>
      </c>
      <c r="D9" s="16"/>
      <c r="E9" s="19"/>
      <c r="F9" s="20"/>
      <c r="G9" s="20"/>
      <c r="H9" s="20"/>
      <c r="I9" s="35" t="s">
        <v>68</v>
      </c>
      <c r="J9" s="39"/>
      <c r="K9" s="42">
        <f>COUNT(Table14[ VO])</f>
        <v>2</v>
      </c>
      <c r="L9" s="38"/>
      <c r="M9" s="43"/>
      <c r="N9" s="43"/>
    </row>
    <row r="10" s="1" customFormat="1" ht="48.65" customHeight="1" spans="2:14">
      <c r="B10" s="17"/>
      <c r="C10" s="21" t="s">
        <v>3</v>
      </c>
      <c r="D10" s="21"/>
      <c r="E10" s="19"/>
      <c r="F10" s="20"/>
      <c r="G10" s="20"/>
      <c r="H10" s="20"/>
      <c r="I10" s="35" t="s">
        <v>69</v>
      </c>
      <c r="J10" s="44"/>
      <c r="K10" s="42">
        <f>COUNTIF(Table14[Status],"Agreed")</f>
        <v>1</v>
      </c>
      <c r="L10" s="38"/>
      <c r="M10" s="43"/>
      <c r="N10" s="43"/>
    </row>
    <row r="11" s="1" customFormat="1" ht="48.65" customHeight="1" spans="3:14">
      <c r="C11" s="18" t="s">
        <v>4</v>
      </c>
      <c r="D11" s="16"/>
      <c r="E11" s="19"/>
      <c r="F11" s="20"/>
      <c r="G11" s="20"/>
      <c r="H11" s="20"/>
      <c r="I11" s="45" t="s">
        <v>70</v>
      </c>
      <c r="J11" s="46"/>
      <c r="K11" s="47">
        <f>COUNTIF(Table14[Value £],"tbc")</f>
        <v>1</v>
      </c>
      <c r="L11" s="38"/>
      <c r="M11" s="43"/>
      <c r="N11" s="43"/>
    </row>
    <row r="12" ht="20.15" customHeight="1"/>
    <row r="13" s="2" customFormat="1" ht="87.75" customHeight="1" spans="2:14">
      <c r="B13" s="22" t="s">
        <v>71</v>
      </c>
      <c r="C13" s="22" t="s">
        <v>72</v>
      </c>
      <c r="D13" s="22" t="s">
        <v>73</v>
      </c>
      <c r="E13" s="23" t="s">
        <v>74</v>
      </c>
      <c r="F13" s="24" t="s">
        <v>75</v>
      </c>
      <c r="G13" s="24" t="s">
        <v>76</v>
      </c>
      <c r="H13" s="24" t="s">
        <v>77</v>
      </c>
      <c r="I13" s="24" t="s">
        <v>78</v>
      </c>
      <c r="J13" s="23" t="s">
        <v>79</v>
      </c>
      <c r="K13" s="22" t="s">
        <v>36</v>
      </c>
      <c r="L13" s="48" t="s">
        <v>34</v>
      </c>
      <c r="M13" s="24" t="s">
        <v>35</v>
      </c>
      <c r="N13" s="24" t="s">
        <v>80</v>
      </c>
    </row>
    <row r="14" s="3" customFormat="1" ht="65.15" customHeight="1" spans="2:14">
      <c r="B14" s="25"/>
      <c r="C14" s="26">
        <v>1</v>
      </c>
      <c r="D14" s="27" t="s">
        <v>81</v>
      </c>
      <c r="E14" s="28">
        <v>45512</v>
      </c>
      <c r="F14" s="29">
        <v>0</v>
      </c>
      <c r="G14" s="29"/>
      <c r="H14" s="29"/>
      <c r="I14" s="49" t="s">
        <v>82</v>
      </c>
      <c r="J14" s="50">
        <v>45523</v>
      </c>
      <c r="K14" s="51"/>
      <c r="L14" s="52">
        <v>1</v>
      </c>
      <c r="M14" s="49">
        <f>IF(Table14[[#This Row],[Progress %]]="","",Table14[[#This Row],[Progress %]]*Table14[[#This Row],[Value £]])</f>
        <v>0</v>
      </c>
      <c r="N14" s="53" t="s">
        <v>83</v>
      </c>
    </row>
    <row r="15" s="3" customFormat="1" ht="65.15" customHeight="1" spans="2:14">
      <c r="B15" s="30"/>
      <c r="C15" s="26">
        <v>2</v>
      </c>
      <c r="D15" s="31" t="s">
        <v>84</v>
      </c>
      <c r="E15" s="28"/>
      <c r="F15" s="29" t="s">
        <v>85</v>
      </c>
      <c r="G15" s="29"/>
      <c r="H15" s="29"/>
      <c r="I15" s="54" t="s">
        <v>65</v>
      </c>
      <c r="J15" s="55"/>
      <c r="K15" s="53"/>
      <c r="L15" s="56"/>
      <c r="M15" s="49" t="str">
        <f>IF(Table14[[#This Row],[Progress %]]="","",Table14[[#This Row],[Progress %]]*Table14[[#This Row],[Value £]])</f>
        <v/>
      </c>
      <c r="N15" s="57"/>
    </row>
    <row r="16" s="3" customFormat="1" ht="65.15" customHeight="1" spans="2:14">
      <c r="B16" s="25"/>
      <c r="C16" s="26"/>
      <c r="D16" s="27" t="s">
        <v>86</v>
      </c>
      <c r="E16" s="28"/>
      <c r="F16" s="29">
        <v>5000</v>
      </c>
      <c r="G16" s="29"/>
      <c r="H16" s="29"/>
      <c r="I16" s="49"/>
      <c r="J16" s="50"/>
      <c r="K16" s="51"/>
      <c r="L16" s="52"/>
      <c r="M16" s="49"/>
      <c r="N16" s="53"/>
    </row>
    <row r="17" s="3" customFormat="1" ht="65.15" customHeight="1" spans="2:14">
      <c r="B17" s="25"/>
      <c r="C17" s="26"/>
      <c r="D17" s="27"/>
      <c r="E17" s="28"/>
      <c r="F17" s="29"/>
      <c r="G17" s="29"/>
      <c r="H17" s="29"/>
      <c r="I17" s="49"/>
      <c r="J17" s="50"/>
      <c r="K17" s="51"/>
      <c r="L17" s="52"/>
      <c r="M17" s="49"/>
      <c r="N17" s="53"/>
    </row>
    <row r="18" s="3" customFormat="1" ht="65.15" customHeight="1" spans="2:14">
      <c r="B18" s="25"/>
      <c r="C18" s="26"/>
      <c r="D18" s="27"/>
      <c r="E18" s="28"/>
      <c r="F18" s="29"/>
      <c r="G18" s="29"/>
      <c r="H18" s="29"/>
      <c r="I18" s="49"/>
      <c r="J18" s="50"/>
      <c r="K18" s="53"/>
      <c r="L18" s="52"/>
      <c r="M18" s="49"/>
      <c r="N18" s="53"/>
    </row>
    <row r="19" s="3" customFormat="1" ht="65.15" customHeight="1" spans="2:14">
      <c r="B19" s="25"/>
      <c r="C19" s="26"/>
      <c r="D19" s="32"/>
      <c r="E19" s="28"/>
      <c r="F19" s="29"/>
      <c r="G19" s="29"/>
      <c r="H19" s="29"/>
      <c r="I19" s="49"/>
      <c r="J19" s="50"/>
      <c r="K19" s="58"/>
      <c r="L19" s="59"/>
      <c r="M19" s="60"/>
      <c r="N19" s="53"/>
    </row>
    <row r="20" s="4" customFormat="1" ht="65.15" customHeight="1" spans="2:14">
      <c r="B20" s="25"/>
      <c r="C20" s="26"/>
      <c r="D20" s="31"/>
      <c r="E20" s="28"/>
      <c r="F20" s="29"/>
      <c r="G20" s="29"/>
      <c r="H20" s="29"/>
      <c r="I20" s="49"/>
      <c r="J20" s="50"/>
      <c r="K20" s="51"/>
      <c r="L20" s="52"/>
      <c r="M20" s="49"/>
      <c r="N20" s="53"/>
    </row>
    <row r="21" s="4" customFormat="1" ht="65.15" customHeight="1" spans="2:14">
      <c r="B21" s="25"/>
      <c r="C21" s="26"/>
      <c r="D21" s="27"/>
      <c r="E21" s="28"/>
      <c r="F21" s="29"/>
      <c r="G21" s="29"/>
      <c r="H21" s="29"/>
      <c r="I21" s="49"/>
      <c r="J21" s="50"/>
      <c r="K21" s="51"/>
      <c r="L21" s="52"/>
      <c r="M21" s="49"/>
      <c r="N21" s="53"/>
    </row>
    <row r="22" s="4" customFormat="1" ht="65.15" customHeight="1" spans="2:14">
      <c r="B22" s="25"/>
      <c r="C22" s="26"/>
      <c r="D22" s="27"/>
      <c r="E22" s="28"/>
      <c r="F22" s="29"/>
      <c r="G22" s="29"/>
      <c r="H22" s="29"/>
      <c r="I22" s="49"/>
      <c r="J22" s="50"/>
      <c r="K22" s="51"/>
      <c r="L22" s="52"/>
      <c r="M22" s="49"/>
      <c r="N22" s="53"/>
    </row>
    <row r="23" s="4" customFormat="1" ht="65.15" customHeight="1" spans="2:14">
      <c r="B23" s="25"/>
      <c r="C23" s="26" t="str">
        <f>IF(Table14[[#This Row],[Description]]="","",C22+1)</f>
        <v/>
      </c>
      <c r="D23" s="27"/>
      <c r="E23" s="28"/>
      <c r="F23" s="29"/>
      <c r="G23" s="29"/>
      <c r="H23" s="29"/>
      <c r="I23" s="49"/>
      <c r="J23" s="50"/>
      <c r="K23" s="51"/>
      <c r="L23" s="52"/>
      <c r="M23" s="49" t="str">
        <f>IF(Table14[[#This Row],[Progress %]]="","",Table14[[#This Row],[Progress %]]*Table14[[#This Row],[Value £]])</f>
        <v/>
      </c>
      <c r="N23" s="53"/>
    </row>
    <row r="24" s="4" customFormat="1" ht="65.15" customHeight="1" spans="2:14">
      <c r="B24" s="25"/>
      <c r="C24" s="26" t="str">
        <f>IF(Table14[[#This Row],[Description]]="","",C23+1)</f>
        <v/>
      </c>
      <c r="D24" s="27"/>
      <c r="E24" s="28"/>
      <c r="F24" s="29"/>
      <c r="G24" s="29"/>
      <c r="H24" s="29"/>
      <c r="I24" s="49"/>
      <c r="J24" s="50"/>
      <c r="K24" s="51"/>
      <c r="L24" s="52"/>
      <c r="M24" s="49" t="str">
        <f>IF(Table14[[#This Row],[Progress %]]="","",Table14[[#This Row],[Progress %]]*Table14[[#This Row],[Value £]])</f>
        <v/>
      </c>
      <c r="N24" s="53"/>
    </row>
    <row r="25" s="4" customFormat="1" ht="65.15" customHeight="1" spans="2:14">
      <c r="B25" s="25"/>
      <c r="C25" s="26" t="str">
        <f>IF(Table14[[#This Row],[Description]]="","",C24+1)</f>
        <v/>
      </c>
      <c r="D25" s="27"/>
      <c r="E25" s="28"/>
      <c r="F25" s="29"/>
      <c r="G25" s="29"/>
      <c r="H25" s="29"/>
      <c r="I25" s="49"/>
      <c r="J25" s="50"/>
      <c r="K25" s="51"/>
      <c r="L25" s="52"/>
      <c r="M25" s="49" t="str">
        <f>IF(Table14[[#This Row],[Progress %]]="","",Table14[[#This Row],[Progress %]]*Table14[[#This Row],[Value £]])</f>
        <v/>
      </c>
      <c r="N25" s="53"/>
    </row>
    <row r="26" s="4" customFormat="1" ht="65.15" customHeight="1" spans="2:14">
      <c r="B26" s="25"/>
      <c r="C26" s="26" t="str">
        <f>IF(Table14[[#This Row],[Description]]="","",C25+1)</f>
        <v/>
      </c>
      <c r="D26" s="27"/>
      <c r="E26" s="28"/>
      <c r="F26" s="29"/>
      <c r="G26" s="29"/>
      <c r="H26" s="29"/>
      <c r="I26" s="49"/>
      <c r="J26" s="50"/>
      <c r="K26" s="51"/>
      <c r="L26" s="52"/>
      <c r="M26" s="49" t="str">
        <f>IF(Table14[[#This Row],[Progress %]]="","",Table14[[#This Row],[Progress %]]*Table14[[#This Row],[Value £]])</f>
        <v/>
      </c>
      <c r="N26" s="53"/>
    </row>
    <row r="27" s="4" customFormat="1" ht="65.15" customHeight="1" spans="2:14">
      <c r="B27" s="25"/>
      <c r="C27" s="26" t="str">
        <f>IF(Table14[[#This Row],[Description]]="","",C26+1)</f>
        <v/>
      </c>
      <c r="D27" s="27"/>
      <c r="E27" s="28"/>
      <c r="F27" s="29"/>
      <c r="G27" s="29"/>
      <c r="H27" s="29"/>
      <c r="I27" s="49"/>
      <c r="J27" s="50"/>
      <c r="K27" s="51"/>
      <c r="L27" s="52"/>
      <c r="M27" s="49" t="str">
        <f>IF(Table14[[#This Row],[Progress %]]="","",Table14[[#This Row],[Progress %]]*Table14[[#This Row],[Value £]])</f>
        <v/>
      </c>
      <c r="N27" s="53"/>
    </row>
    <row r="28" s="4" customFormat="1" ht="65.15" customHeight="1" spans="2:14">
      <c r="B28" s="25"/>
      <c r="C28" s="26" t="str">
        <f>IF(Table14[[#This Row],[Description]]="","",C27+1)</f>
        <v/>
      </c>
      <c r="D28" s="27"/>
      <c r="E28" s="28"/>
      <c r="F28" s="29"/>
      <c r="G28" s="29"/>
      <c r="H28" s="29"/>
      <c r="I28" s="49"/>
      <c r="J28" s="50"/>
      <c r="K28" s="51"/>
      <c r="L28" s="52"/>
      <c r="M28" s="49" t="str">
        <f>IF(Table14[[#This Row],[Progress %]]="","",Table14[[#This Row],[Progress %]]*Table14[[#This Row],[Value £]])</f>
        <v/>
      </c>
      <c r="N28" s="53"/>
    </row>
    <row r="29" s="4" customFormat="1" ht="65.15" customHeight="1" spans="2:14">
      <c r="B29" s="25"/>
      <c r="C29" s="26" t="str">
        <f>IF(Table14[[#This Row],[Description]]="","",C28+1)</f>
        <v/>
      </c>
      <c r="D29" s="27"/>
      <c r="E29" s="28"/>
      <c r="F29" s="29"/>
      <c r="G29" s="29"/>
      <c r="H29" s="29"/>
      <c r="I29" s="49"/>
      <c r="J29" s="50"/>
      <c r="K29" s="51"/>
      <c r="L29" s="52"/>
      <c r="M29" s="49" t="str">
        <f>IF(Table14[[#This Row],[Progress %]]="","",Table14[[#This Row],[Progress %]]*Table14[[#This Row],[Value £]])</f>
        <v/>
      </c>
      <c r="N29" s="53"/>
    </row>
    <row r="30" s="4" customFormat="1" ht="65.15" customHeight="1" spans="2:14">
      <c r="B30" s="25"/>
      <c r="C30" s="26" t="str">
        <f>IF(Table14[[#This Row],[Description]]="","",C29+1)</f>
        <v/>
      </c>
      <c r="D30" s="27"/>
      <c r="E30" s="28"/>
      <c r="F30" s="29"/>
      <c r="G30" s="29"/>
      <c r="H30" s="29"/>
      <c r="I30" s="49"/>
      <c r="J30" s="50"/>
      <c r="K30" s="51"/>
      <c r="L30" s="52"/>
      <c r="M30" s="49" t="str">
        <f>IF(Table14[[#This Row],[Progress %]]="","",Table14[[#This Row],[Progress %]]*Table14[[#This Row],[Value £]])</f>
        <v/>
      </c>
      <c r="N30" s="53"/>
    </row>
    <row r="31" s="4" customFormat="1" ht="65.15" customHeight="1" spans="2:14">
      <c r="B31" s="25"/>
      <c r="C31" s="26" t="str">
        <f>IF(Table14[[#This Row],[Description]]="","",C30+1)</f>
        <v/>
      </c>
      <c r="D31" s="27"/>
      <c r="E31" s="28"/>
      <c r="F31" s="29"/>
      <c r="G31" s="29"/>
      <c r="H31" s="29"/>
      <c r="I31" s="49"/>
      <c r="J31" s="50"/>
      <c r="K31" s="51"/>
      <c r="L31" s="52"/>
      <c r="M31" s="49" t="str">
        <f>IF(Table14[[#This Row],[Progress %]]="","",Table14[[#This Row],[Progress %]]*Table14[[#This Row],[Value £]])</f>
        <v/>
      </c>
      <c r="N31" s="53"/>
    </row>
    <row r="32" s="4" customFormat="1" ht="65.15" customHeight="1" spans="2:14">
      <c r="B32" s="25"/>
      <c r="C32" s="26" t="str">
        <f>IF(Table14[[#This Row],[Description]]="","",C31+1)</f>
        <v/>
      </c>
      <c r="D32" s="27"/>
      <c r="E32" s="28"/>
      <c r="F32" s="29"/>
      <c r="G32" s="29"/>
      <c r="H32" s="29"/>
      <c r="I32" s="49"/>
      <c r="J32" s="50"/>
      <c r="K32" s="51"/>
      <c r="L32" s="52"/>
      <c r="M32" s="49" t="str">
        <f>IF(Table14[[#This Row],[Progress %]]="","",Table14[[#This Row],[Progress %]]*Table14[[#This Row],[Value £]])</f>
        <v/>
      </c>
      <c r="N32" s="53"/>
    </row>
    <row r="33" s="4" customFormat="1" ht="65.15" customHeight="1" spans="2:14">
      <c r="B33" s="25"/>
      <c r="C33" s="26" t="str">
        <f>IF(Table14[[#This Row],[Description]]="","",C32+1)</f>
        <v/>
      </c>
      <c r="D33" s="27"/>
      <c r="E33" s="28"/>
      <c r="F33" s="29"/>
      <c r="G33" s="29"/>
      <c r="H33" s="29"/>
      <c r="I33" s="49"/>
      <c r="J33" s="50"/>
      <c r="K33" s="51"/>
      <c r="L33" s="52"/>
      <c r="M33" s="49" t="str">
        <f>IF(Table14[[#This Row],[Progress %]]="","",Table14[[#This Row],[Progress %]]*Table14[[#This Row],[Value £]])</f>
        <v/>
      </c>
      <c r="N33" s="53"/>
    </row>
    <row r="34" s="4" customFormat="1" ht="65.15" customHeight="1" spans="2:14">
      <c r="B34" s="25"/>
      <c r="C34" s="26" t="str">
        <f>IF(Table14[[#This Row],[Description]]="","",C33+1)</f>
        <v/>
      </c>
      <c r="D34" s="27"/>
      <c r="E34" s="28"/>
      <c r="F34" s="29"/>
      <c r="G34" s="29"/>
      <c r="H34" s="29"/>
      <c r="I34" s="49"/>
      <c r="J34" s="50"/>
      <c r="K34" s="51"/>
      <c r="L34" s="52"/>
      <c r="M34" s="49" t="str">
        <f>IF(Table14[[#This Row],[Progress %]]="","",Table14[[#This Row],[Progress %]]*Table14[[#This Row],[Value £]])</f>
        <v/>
      </c>
      <c r="N34" s="53"/>
    </row>
    <row r="35" s="4" customFormat="1" ht="65.15" customHeight="1" spans="2:14">
      <c r="B35" s="25"/>
      <c r="C35" s="26" t="str">
        <f>IF(Table14[[#This Row],[Description]]="","",C34+1)</f>
        <v/>
      </c>
      <c r="D35" s="27"/>
      <c r="E35" s="28"/>
      <c r="F35" s="29"/>
      <c r="G35" s="29"/>
      <c r="H35" s="29"/>
      <c r="I35" s="49"/>
      <c r="J35" s="50"/>
      <c r="K35" s="51"/>
      <c r="L35" s="52"/>
      <c r="M35" s="49" t="str">
        <f>IF(Table14[[#This Row],[Progress %]]="","",Table14[[#This Row],[Progress %]]*Table14[[#This Row],[Value £]])</f>
        <v/>
      </c>
      <c r="N35" s="53"/>
    </row>
    <row r="36" s="4" customFormat="1" ht="65.15" customHeight="1" spans="2:14">
      <c r="B36" s="25"/>
      <c r="C36" s="26" t="str">
        <f>IF(Table14[[#This Row],[Description]]="","",C35+1)</f>
        <v/>
      </c>
      <c r="D36" s="27"/>
      <c r="E36" s="28"/>
      <c r="F36" s="29"/>
      <c r="G36" s="29"/>
      <c r="H36" s="29"/>
      <c r="I36" s="49"/>
      <c r="J36" s="50"/>
      <c r="K36" s="51"/>
      <c r="L36" s="52"/>
      <c r="M36" s="49" t="str">
        <f>IF(Table14[[#This Row],[Progress %]]="","",Table14[[#This Row],[Progress %]]*Table14[[#This Row],[Value £]])</f>
        <v/>
      </c>
      <c r="N36" s="53"/>
    </row>
    <row r="37" s="4" customFormat="1" ht="65.15" customHeight="1" spans="2:14">
      <c r="B37" s="25"/>
      <c r="C37" s="26" t="str">
        <f>IF(Table14[[#This Row],[Description]]="","",C36+1)</f>
        <v/>
      </c>
      <c r="D37" s="27"/>
      <c r="E37" s="28"/>
      <c r="F37" s="29"/>
      <c r="G37" s="29"/>
      <c r="H37" s="29"/>
      <c r="I37" s="49"/>
      <c r="J37" s="50"/>
      <c r="K37" s="51"/>
      <c r="L37" s="52"/>
      <c r="M37" s="49" t="str">
        <f>IF(Table14[[#This Row],[Progress %]]="","",Table14[[#This Row],[Progress %]]*Table14[[#This Row],[Value £]])</f>
        <v/>
      </c>
      <c r="N37" s="53"/>
    </row>
    <row r="38" s="4" customFormat="1" ht="65.15" customHeight="1" spans="2:14">
      <c r="B38" s="25"/>
      <c r="C38" s="26" t="str">
        <f>IF(Table14[[#This Row],[Description]]="","",C37+1)</f>
        <v/>
      </c>
      <c r="D38" s="27"/>
      <c r="E38" s="28"/>
      <c r="F38" s="29"/>
      <c r="G38" s="29"/>
      <c r="H38" s="29"/>
      <c r="I38" s="49"/>
      <c r="J38" s="50"/>
      <c r="K38" s="51"/>
      <c r="L38" s="52"/>
      <c r="M38" s="49" t="str">
        <f>IF(Table14[[#This Row],[Progress %]]="","",Table14[[#This Row],[Progress %]]*Table14[[#This Row],[Value £]])</f>
        <v/>
      </c>
      <c r="N38" s="53"/>
    </row>
    <row r="39" s="4" customFormat="1" ht="65.15" customHeight="1" spans="2:14">
      <c r="B39" s="25"/>
      <c r="C39" s="26" t="str">
        <f>IF(Table14[[#This Row],[Description]]="","",C38+1)</f>
        <v/>
      </c>
      <c r="D39" s="27"/>
      <c r="E39" s="28"/>
      <c r="F39" s="29"/>
      <c r="G39" s="29"/>
      <c r="H39" s="29"/>
      <c r="I39" s="49"/>
      <c r="J39" s="50"/>
      <c r="K39" s="51"/>
      <c r="L39" s="52"/>
      <c r="M39" s="49" t="str">
        <f>IF(Table14[[#This Row],[Progress %]]="","",Table14[[#This Row],[Progress %]]*Table14[[#This Row],[Value £]])</f>
        <v/>
      </c>
      <c r="N39" s="53"/>
    </row>
    <row r="40" s="4" customFormat="1" ht="65.15" customHeight="1" spans="2:14">
      <c r="B40" s="25"/>
      <c r="C40" s="26" t="str">
        <f>IF(Table14[[#This Row],[Description]]="","",C39+1)</f>
        <v/>
      </c>
      <c r="D40" s="27"/>
      <c r="E40" s="28"/>
      <c r="F40" s="29"/>
      <c r="G40" s="29"/>
      <c r="H40" s="29"/>
      <c r="I40" s="49"/>
      <c r="J40" s="50"/>
      <c r="K40" s="51"/>
      <c r="L40" s="52"/>
      <c r="M40" s="49" t="str">
        <f>IF(Table14[[#This Row],[Progress %]]="","",Table14[[#This Row],[Progress %]]*Table14[[#This Row],[Value £]])</f>
        <v/>
      </c>
      <c r="N40" s="53"/>
    </row>
    <row r="41" s="4" customFormat="1" ht="65.15" customHeight="1" spans="2:14">
      <c r="B41" s="25"/>
      <c r="C41" s="26" t="str">
        <f>IF(Table14[[#This Row],[Description]]="","",C40+1)</f>
        <v/>
      </c>
      <c r="D41" s="27"/>
      <c r="E41" s="28"/>
      <c r="F41" s="29"/>
      <c r="G41" s="29"/>
      <c r="H41" s="29"/>
      <c r="I41" s="49"/>
      <c r="J41" s="50"/>
      <c r="K41" s="51"/>
      <c r="L41" s="52"/>
      <c r="M41" s="49" t="str">
        <f>IF(Table14[[#This Row],[Progress %]]="","",Table14[[#This Row],[Progress %]]*Table14[[#This Row],[Value £]])</f>
        <v/>
      </c>
      <c r="N41" s="53"/>
    </row>
    <row r="42" s="4" customFormat="1" ht="65.15" customHeight="1" spans="2:14">
      <c r="B42" s="25"/>
      <c r="C42" s="26" t="str">
        <f>IF(Table14[[#This Row],[Description]]="","",C41+1)</f>
        <v/>
      </c>
      <c r="D42" s="27"/>
      <c r="E42" s="28"/>
      <c r="F42" s="29"/>
      <c r="G42" s="29"/>
      <c r="H42" s="29"/>
      <c r="I42" s="49"/>
      <c r="J42" s="50"/>
      <c r="K42" s="51"/>
      <c r="L42" s="52"/>
      <c r="M42" s="49" t="str">
        <f>IF(Table14[[#This Row],[Progress %]]="","",Table14[[#This Row],[Progress %]]*Table14[[#This Row],[Value £]])</f>
        <v/>
      </c>
      <c r="N42" s="53"/>
    </row>
    <row r="43" s="4" customFormat="1" ht="65.15" customHeight="1" spans="2:14">
      <c r="B43" s="25"/>
      <c r="C43" s="26" t="str">
        <f>IF(Table14[[#This Row],[Description]]="","",C42+1)</f>
        <v/>
      </c>
      <c r="D43" s="27"/>
      <c r="E43" s="28"/>
      <c r="F43" s="29"/>
      <c r="G43" s="29"/>
      <c r="H43" s="29"/>
      <c r="I43" s="49"/>
      <c r="J43" s="50"/>
      <c r="K43" s="51"/>
      <c r="L43" s="52"/>
      <c r="M43" s="49" t="str">
        <f>IF(Table14[[#This Row],[Progress %]]="","",Table14[[#This Row],[Progress %]]*Table14[[#This Row],[Value £]])</f>
        <v/>
      </c>
      <c r="N43" s="53"/>
    </row>
    <row r="44" s="4" customFormat="1" ht="65.15" customHeight="1" spans="2:14">
      <c r="B44" s="25"/>
      <c r="C44" s="26" t="str">
        <f>IF(Table14[[#This Row],[Description]]="","",C43+1)</f>
        <v/>
      </c>
      <c r="D44" s="27"/>
      <c r="E44" s="28"/>
      <c r="F44" s="29"/>
      <c r="G44" s="29"/>
      <c r="H44" s="29"/>
      <c r="I44" s="49"/>
      <c r="J44" s="50"/>
      <c r="K44" s="51"/>
      <c r="L44" s="52"/>
      <c r="M44" s="49" t="str">
        <f>IF(Table14[[#This Row],[Progress %]]="","",Table14[[#This Row],[Progress %]]*Table14[[#This Row],[Value £]])</f>
        <v/>
      </c>
      <c r="N44" s="53"/>
    </row>
    <row r="45" s="4" customFormat="1" ht="65.15" customHeight="1" spans="2:14">
      <c r="B45" s="25"/>
      <c r="C45" s="26" t="str">
        <f>IF(Table14[[#This Row],[Description]]="","",C44+1)</f>
        <v/>
      </c>
      <c r="D45" s="27"/>
      <c r="E45" s="28"/>
      <c r="F45" s="29"/>
      <c r="G45" s="29"/>
      <c r="H45" s="29" t="e">
        <v>#VALUE!</v>
      </c>
      <c r="I45" s="49"/>
      <c r="J45" s="50"/>
      <c r="K45" s="51"/>
      <c r="L45" s="52"/>
      <c r="M45" s="49" t="str">
        <f>IF(Table14[[#This Row],[Progress %]]="","",Table14[[#This Row],[Progress %]]*Table14[[#This Row],[Value £]])</f>
        <v/>
      </c>
      <c r="N45" s="53"/>
    </row>
    <row r="46" s="4" customFormat="1" ht="65.15" customHeight="1" spans="2:14">
      <c r="B46" s="25"/>
      <c r="C46" s="26" t="str">
        <f>IF(Table14[[#This Row],[Description]]="","",C45+1)</f>
        <v/>
      </c>
      <c r="D46" s="27"/>
      <c r="E46" s="28"/>
      <c r="F46" s="29"/>
      <c r="G46" s="29"/>
      <c r="H46" s="29"/>
      <c r="I46" s="49"/>
      <c r="J46" s="50"/>
      <c r="K46" s="51"/>
      <c r="L46" s="52"/>
      <c r="M46" s="49" t="str">
        <f>IF(Table14[[#This Row],[Progress %]]="","",Table14[[#This Row],[Progress %]]*Table14[[#This Row],[Value £]])</f>
        <v/>
      </c>
      <c r="N46" s="53"/>
    </row>
    <row r="47" s="4" customFormat="1" ht="65.15" customHeight="1" spans="2:14">
      <c r="B47" s="25"/>
      <c r="C47" s="26" t="str">
        <f>IF(Table14[[#This Row],[Description]]="","",C46+1)</f>
        <v/>
      </c>
      <c r="D47" s="27"/>
      <c r="E47" s="28"/>
      <c r="F47" s="29"/>
      <c r="G47" s="29"/>
      <c r="H47" s="29"/>
      <c r="I47" s="49"/>
      <c r="J47" s="50"/>
      <c r="K47" s="51"/>
      <c r="L47" s="52"/>
      <c r="M47" s="49" t="str">
        <f>IF(Table14[[#This Row],[Progress %]]="","",Table14[[#This Row],[Progress %]]*Table14[[#This Row],[Value £]])</f>
        <v/>
      </c>
      <c r="N47" s="53"/>
    </row>
    <row r="48" s="4" customFormat="1" ht="65.15" customHeight="1" spans="2:14">
      <c r="B48" s="25"/>
      <c r="C48" s="26" t="str">
        <f>IF(Table14[[#This Row],[Description]]="","",C47+1)</f>
        <v/>
      </c>
      <c r="D48" s="27"/>
      <c r="E48" s="28"/>
      <c r="F48" s="29"/>
      <c r="G48" s="29"/>
      <c r="H48" s="29"/>
      <c r="I48" s="49"/>
      <c r="J48" s="50"/>
      <c r="K48" s="51"/>
      <c r="L48" s="52"/>
      <c r="M48" s="49" t="str">
        <f>IF(Table14[[#This Row],[Progress %]]="","",Table14[[#This Row],[Progress %]]*Table14[[#This Row],[Value £]])</f>
        <v/>
      </c>
      <c r="N48" s="53"/>
    </row>
    <row r="49" s="4" customFormat="1" ht="65.15" customHeight="1" spans="2:14">
      <c r="B49" s="25"/>
      <c r="C49" s="26" t="str">
        <f>IF(Table14[[#This Row],[Description]]="","",C48+1)</f>
        <v/>
      </c>
      <c r="D49" s="27"/>
      <c r="E49" s="28"/>
      <c r="F49" s="29"/>
      <c r="G49" s="29"/>
      <c r="H49" s="29"/>
      <c r="I49" s="49"/>
      <c r="J49" s="50"/>
      <c r="K49" s="51"/>
      <c r="L49" s="52"/>
      <c r="M49" s="49" t="str">
        <f>IF(Table14[[#This Row],[Progress %]]="","",Table14[[#This Row],[Progress %]]*Table14[[#This Row],[Value £]])</f>
        <v/>
      </c>
      <c r="N49" s="53"/>
    </row>
    <row r="50" s="4" customFormat="1" ht="65.15" customHeight="1" spans="2:14">
      <c r="B50" s="25"/>
      <c r="C50" s="26" t="str">
        <f>IF(Table14[[#This Row],[Description]]="","",C49+1)</f>
        <v/>
      </c>
      <c r="D50" s="27"/>
      <c r="E50" s="28"/>
      <c r="F50" s="29"/>
      <c r="G50" s="29"/>
      <c r="H50" s="29"/>
      <c r="I50" s="49"/>
      <c r="J50" s="50"/>
      <c r="K50" s="51"/>
      <c r="L50" s="52"/>
      <c r="M50" s="49" t="str">
        <f>IF(Table14[[#This Row],[Progress %]]="","",Table14[[#This Row],[Progress %]]*Table14[[#This Row],[Value £]])</f>
        <v/>
      </c>
      <c r="N50" s="53"/>
    </row>
    <row r="51" s="4" customFormat="1" ht="65.15" customHeight="1" spans="2:14">
      <c r="B51" s="25"/>
      <c r="C51" s="26" t="str">
        <f>IF(Table14[[#This Row],[Description]]="","",C50+1)</f>
        <v/>
      </c>
      <c r="D51" s="27"/>
      <c r="E51" s="28"/>
      <c r="F51" s="29"/>
      <c r="G51" s="29"/>
      <c r="H51" s="29"/>
      <c r="I51" s="49"/>
      <c r="J51" s="50"/>
      <c r="K51" s="51"/>
      <c r="L51" s="52"/>
      <c r="M51" s="49" t="str">
        <f>IF(Table14[[#This Row],[Progress %]]="","",Table14[[#This Row],[Progress %]]*Table14[[#This Row],[Value £]])</f>
        <v/>
      </c>
      <c r="N51" s="53"/>
    </row>
    <row r="52" s="4" customFormat="1" ht="65.15" customHeight="1" spans="2:14">
      <c r="B52" s="25"/>
      <c r="C52" s="26" t="str">
        <f>IF(Table14[[#This Row],[Description]]="","",C51+1)</f>
        <v/>
      </c>
      <c r="D52" s="27"/>
      <c r="E52" s="28"/>
      <c r="F52" s="29"/>
      <c r="G52" s="29"/>
      <c r="H52" s="29"/>
      <c r="I52" s="49"/>
      <c r="J52" s="50"/>
      <c r="K52" s="51"/>
      <c r="L52" s="52"/>
      <c r="M52" s="49" t="str">
        <f>IF(Table14[[#This Row],[Progress %]]="","",Table14[[#This Row],[Progress %]]*Table14[[#This Row],[Value £]])</f>
        <v/>
      </c>
      <c r="N52" s="53"/>
    </row>
    <row r="53" s="4" customFormat="1" ht="65.15" customHeight="1" spans="2:14">
      <c r="B53" s="25"/>
      <c r="C53" s="26" t="str">
        <f>IF(Table14[[#This Row],[Description]]="","",C52+1)</f>
        <v/>
      </c>
      <c r="D53" s="27"/>
      <c r="E53" s="28"/>
      <c r="F53" s="29"/>
      <c r="G53" s="29"/>
      <c r="H53" s="29"/>
      <c r="I53" s="49"/>
      <c r="J53" s="50"/>
      <c r="K53" s="51"/>
      <c r="L53" s="52"/>
      <c r="M53" s="49" t="str">
        <f>IF(Table14[[#This Row],[Progress %]]="","",Table14[[#This Row],[Progress %]]*Table14[[#This Row],[Value £]])</f>
        <v/>
      </c>
      <c r="N53" s="53"/>
    </row>
    <row r="54" s="4" customFormat="1" ht="65.15" customHeight="1" spans="2:14">
      <c r="B54" s="25"/>
      <c r="C54" s="26" t="str">
        <f>IF(Table14[[#This Row],[Description]]="","",C53+1)</f>
        <v/>
      </c>
      <c r="D54" s="27"/>
      <c r="E54" s="28"/>
      <c r="F54" s="29"/>
      <c r="G54" s="29"/>
      <c r="H54" s="29" t="s">
        <v>24</v>
      </c>
      <c r="I54" s="49"/>
      <c r="J54" s="50"/>
      <c r="K54" s="51"/>
      <c r="L54" s="52"/>
      <c r="M54" s="49" t="str">
        <f>IF(Table14[[#This Row],[Progress %]]="","",Table14[[#This Row],[Progress %]]*Table14[[#This Row],[Value £]])</f>
        <v/>
      </c>
      <c r="N54" s="53"/>
    </row>
    <row r="55" s="4" customFormat="1" ht="65.15" customHeight="1" spans="2:14">
      <c r="B55" s="25"/>
      <c r="C55" s="26" t="str">
        <f>IF(Table14[[#This Row],[Description]]="","",C54+1)</f>
        <v/>
      </c>
      <c r="D55" s="27"/>
      <c r="E55" s="28"/>
      <c r="F55" s="29"/>
      <c r="G55" s="29"/>
      <c r="H55" s="29"/>
      <c r="I55" s="49"/>
      <c r="J55" s="50"/>
      <c r="K55" s="51"/>
      <c r="L55" s="52"/>
      <c r="M55" s="49" t="str">
        <f>IF(Table14[[#This Row],[Progress %]]="","",Table14[[#This Row],[Progress %]]*Table14[[#This Row],[Value £]])</f>
        <v/>
      </c>
      <c r="N55" s="53"/>
    </row>
    <row r="56" s="4" customFormat="1" ht="65.15" customHeight="1" spans="2:14">
      <c r="B56" s="25"/>
      <c r="C56" s="26" t="str">
        <f>IF(Table14[[#This Row],[Description]]="","",C55+1)</f>
        <v/>
      </c>
      <c r="D56" s="27"/>
      <c r="E56" s="28"/>
      <c r="F56" s="29"/>
      <c r="G56" s="29"/>
      <c r="H56" s="29"/>
      <c r="I56" s="49"/>
      <c r="J56" s="50"/>
      <c r="K56" s="51"/>
      <c r="L56" s="52"/>
      <c r="M56" s="49" t="str">
        <f>IF(Table14[[#This Row],[Progress %]]="","",Table14[[#This Row],[Progress %]]*Table14[[#This Row],[Value £]])</f>
        <v/>
      </c>
      <c r="N56" s="53"/>
    </row>
    <row r="57" s="4" customFormat="1" ht="65.15" customHeight="1" spans="2:14">
      <c r="B57" s="25"/>
      <c r="C57" s="26" t="str">
        <f>IF(Table14[[#This Row],[Description]]="","",C56+1)</f>
        <v/>
      </c>
      <c r="D57" s="27"/>
      <c r="E57" s="28"/>
      <c r="F57" s="29"/>
      <c r="G57" s="29"/>
      <c r="H57" s="29"/>
      <c r="I57" s="49"/>
      <c r="J57" s="50"/>
      <c r="K57" s="51"/>
      <c r="L57" s="52"/>
      <c r="M57" s="49" t="str">
        <f>IF(Table14[[#This Row],[Progress %]]="","",Table14[[#This Row],[Progress %]]*Table14[[#This Row],[Value £]])</f>
        <v/>
      </c>
      <c r="N57" s="53"/>
    </row>
    <row r="58" s="4" customFormat="1" ht="65.15" customHeight="1" spans="2:14">
      <c r="B58" s="25"/>
      <c r="C58" s="26" t="str">
        <f>IF(Table14[[#This Row],[Description]]="","",C57+1)</f>
        <v/>
      </c>
      <c r="D58" s="27"/>
      <c r="E58" s="28"/>
      <c r="F58" s="29"/>
      <c r="G58" s="29"/>
      <c r="H58" s="29"/>
      <c r="I58" s="49"/>
      <c r="J58" s="50"/>
      <c r="K58" s="51"/>
      <c r="L58" s="52"/>
      <c r="M58" s="49" t="str">
        <f>IF(Table14[[#This Row],[Progress %]]="","",Table14[[#This Row],[Progress %]]*Table14[[#This Row],[Value £]])</f>
        <v/>
      </c>
      <c r="N58" s="53"/>
    </row>
    <row r="59" s="4" customFormat="1" ht="65.15" customHeight="1" spans="2:14">
      <c r="B59" s="25"/>
      <c r="C59" s="26" t="str">
        <f>IF(Table14[[#This Row],[Description]]="","",C58+1)</f>
        <v/>
      </c>
      <c r="D59" s="27"/>
      <c r="E59" s="28"/>
      <c r="F59" s="29"/>
      <c r="G59" s="29"/>
      <c r="H59" s="29"/>
      <c r="I59" s="49"/>
      <c r="J59" s="50"/>
      <c r="K59" s="51"/>
      <c r="L59" s="52"/>
      <c r="M59" s="49" t="str">
        <f>IF(Table14[[#This Row],[Progress %]]="","",Table14[[#This Row],[Progress %]]*Table14[[#This Row],[Value £]])</f>
        <v/>
      </c>
      <c r="N59" s="53"/>
    </row>
    <row r="60" s="3" customFormat="1" ht="65.15" customHeight="1" spans="2:14">
      <c r="B60" s="25"/>
      <c r="C60" s="26" t="str">
        <f>IF(Table14[[#This Row],[Description]]="","",C59+1)</f>
        <v/>
      </c>
      <c r="D60" s="27"/>
      <c r="E60" s="28"/>
      <c r="F60" s="29"/>
      <c r="G60" s="29"/>
      <c r="H60" s="29"/>
      <c r="I60" s="49"/>
      <c r="J60" s="50"/>
      <c r="K60" s="51"/>
      <c r="L60" s="52"/>
      <c r="M60" s="49" t="str">
        <f>IF(Table14[[#This Row],[Progress %]]="","",Table14[[#This Row],[Progress %]]*Table14[[#This Row],[Value £]])</f>
        <v/>
      </c>
      <c r="N60" s="53"/>
    </row>
    <row r="61" s="3" customFormat="1" ht="65.15" customHeight="1" spans="2:14">
      <c r="B61" s="25"/>
      <c r="C61" s="26" t="str">
        <f>IF(Table14[[#This Row],[Description]]="","",C60+1)</f>
        <v/>
      </c>
      <c r="D61" s="27"/>
      <c r="E61" s="28"/>
      <c r="F61" s="29"/>
      <c r="G61" s="29"/>
      <c r="H61" s="29"/>
      <c r="I61" s="49"/>
      <c r="J61" s="50"/>
      <c r="K61" s="51"/>
      <c r="L61" s="52"/>
      <c r="M61" s="49" t="str">
        <f>IF(Table14[[#This Row],[Progress %]]="","",Table14[[#This Row],[Progress %]]*Table14[[#This Row],[Value £]])</f>
        <v/>
      </c>
      <c r="N61" s="53"/>
    </row>
    <row r="62" s="3" customFormat="1" ht="65.15" customHeight="1" spans="2:14">
      <c r="B62" s="25"/>
      <c r="C62" s="26" t="str">
        <f>IF(Table14[[#This Row],[Description]]="","",C61+1)</f>
        <v/>
      </c>
      <c r="D62" s="27"/>
      <c r="E62" s="28"/>
      <c r="F62" s="29"/>
      <c r="G62" s="29"/>
      <c r="H62" s="29"/>
      <c r="I62" s="49"/>
      <c r="J62" s="50"/>
      <c r="K62" s="51"/>
      <c r="L62" s="52"/>
      <c r="M62" s="49" t="str">
        <f>IF(Table14[[#This Row],[Progress %]]="","",Table14[[#This Row],[Progress %]]*Table14[[#This Row],[Value £]])</f>
        <v/>
      </c>
      <c r="N62" s="53"/>
    </row>
    <row r="63" s="3" customFormat="1" ht="65.15" customHeight="1" spans="2:14">
      <c r="B63" s="25"/>
      <c r="C63" s="26" t="str">
        <f>IF(Table14[[#This Row],[Description]]="","",C62+1)</f>
        <v/>
      </c>
      <c r="D63" s="27"/>
      <c r="E63" s="28"/>
      <c r="F63" s="29"/>
      <c r="G63" s="29"/>
      <c r="H63" s="29"/>
      <c r="I63" s="49"/>
      <c r="J63" s="50"/>
      <c r="K63" s="51"/>
      <c r="L63" s="52"/>
      <c r="M63" s="49" t="str">
        <f>IF(Table14[[#This Row],[Progress %]]="","",Table14[[#This Row],[Progress %]]*Table14[[#This Row],[Value £]])</f>
        <v/>
      </c>
      <c r="N63" s="53"/>
    </row>
    <row r="64" s="3" customFormat="1" ht="65.15" customHeight="1" spans="2:14">
      <c r="B64" s="25"/>
      <c r="C64" s="26" t="str">
        <f>IF(Table14[[#This Row],[Description]]="","",C63+1)</f>
        <v/>
      </c>
      <c r="D64" s="27"/>
      <c r="E64" s="28"/>
      <c r="F64" s="29"/>
      <c r="G64" s="29"/>
      <c r="H64" s="29"/>
      <c r="I64" s="49"/>
      <c r="J64" s="50"/>
      <c r="K64" s="58"/>
      <c r="L64" s="59"/>
      <c r="M64" s="60" t="str">
        <f>IF(Table14[[#This Row],[Progress %]]="","",Table14[[#This Row],[Progress %]]*Table14[[#This Row],[Value £]])</f>
        <v/>
      </c>
      <c r="N64" s="53"/>
    </row>
    <row r="65" s="3" customFormat="1" ht="65.15" customHeight="1" spans="2:14">
      <c r="B65" s="25"/>
      <c r="C65" s="26" t="str">
        <f>IF(Table14[[#This Row],[Description]]="","",C64+1)</f>
        <v/>
      </c>
      <c r="D65" s="27"/>
      <c r="E65" s="28"/>
      <c r="F65" s="29"/>
      <c r="G65" s="29"/>
      <c r="H65" s="29"/>
      <c r="I65" s="49"/>
      <c r="J65" s="50"/>
      <c r="K65" s="51"/>
      <c r="L65" s="52"/>
      <c r="M65" s="49" t="str">
        <f>IF(Table14[[#This Row],[Progress %]]="","",Table14[[#This Row],[Progress %]]*Table14[[#This Row],[Value £]])</f>
        <v/>
      </c>
      <c r="N65" s="53"/>
    </row>
    <row r="66" s="3" customFormat="1" ht="65.15" customHeight="1" spans="2:14">
      <c r="B66" s="25"/>
      <c r="C66" s="26" t="str">
        <f>IF(Table14[[#This Row],[Description]]="","",C65+1)</f>
        <v/>
      </c>
      <c r="D66" s="27"/>
      <c r="E66" s="28"/>
      <c r="F66" s="29"/>
      <c r="G66" s="29"/>
      <c r="H66" s="29"/>
      <c r="I66" s="49"/>
      <c r="J66" s="50"/>
      <c r="K66" s="51"/>
      <c r="L66" s="52"/>
      <c r="M66" s="49" t="str">
        <f>IF(Table14[[#This Row],[Progress %]]="","",Table14[[#This Row],[Progress %]]*Table14[[#This Row],[Value £]])</f>
        <v/>
      </c>
      <c r="N66" s="53"/>
    </row>
    <row r="67" s="3" customFormat="1" ht="65.15" customHeight="1" spans="2:14">
      <c r="B67" s="25"/>
      <c r="C67" s="26" t="str">
        <f>IF(Table14[[#This Row],[Description]]="","",C66+1)</f>
        <v/>
      </c>
      <c r="D67" s="27"/>
      <c r="E67" s="28"/>
      <c r="F67" s="29"/>
      <c r="G67" s="29"/>
      <c r="H67" s="29"/>
      <c r="I67" s="49"/>
      <c r="J67" s="50"/>
      <c r="K67" s="51"/>
      <c r="L67" s="52"/>
      <c r="M67" s="49" t="str">
        <f>IF(Table14[[#This Row],[Progress %]]="","",Table14[[#This Row],[Progress %]]*Table14[[#This Row],[Value £]])</f>
        <v/>
      </c>
      <c r="N67" s="53"/>
    </row>
    <row r="68" s="3" customFormat="1" ht="65.15" customHeight="1" spans="2:14">
      <c r="B68" s="25"/>
      <c r="C68" s="26" t="str">
        <f>IF(Table14[[#This Row],[Description]]="","",C67+1)</f>
        <v/>
      </c>
      <c r="D68" s="27"/>
      <c r="E68" s="28"/>
      <c r="F68" s="29"/>
      <c r="G68" s="29"/>
      <c r="H68" s="29"/>
      <c r="I68" s="49"/>
      <c r="J68" s="50"/>
      <c r="K68" s="51"/>
      <c r="L68" s="52"/>
      <c r="M68" s="49" t="str">
        <f>IF(Table14[[#This Row],[Progress %]]="","",Table14[[#This Row],[Progress %]]*Table14[[#This Row],[Value £]])</f>
        <v/>
      </c>
      <c r="N68" s="53"/>
    </row>
    <row r="69" s="3" customFormat="1" ht="65.15" customHeight="1" spans="2:14">
      <c r="B69" s="25"/>
      <c r="C69" s="26" t="str">
        <f>IF(Table14[[#This Row],[Description]]="","",C68+1)</f>
        <v/>
      </c>
      <c r="D69" s="27"/>
      <c r="E69" s="28"/>
      <c r="F69" s="29"/>
      <c r="G69" s="29"/>
      <c r="H69" s="29"/>
      <c r="I69" s="49"/>
      <c r="J69" s="50"/>
      <c r="K69" s="67"/>
      <c r="L69" s="68"/>
      <c r="M69" s="69" t="str">
        <f>IF(Table14[[#This Row],[Progress %]]="","",Table14[[#This Row],[Progress %]]*Table14[[#This Row],[Value £]])</f>
        <v/>
      </c>
      <c r="N69" s="53"/>
    </row>
    <row r="70" s="3" customFormat="1" ht="65.15" customHeight="1" spans="2:14">
      <c r="B70" s="25"/>
      <c r="C70" s="26" t="str">
        <f>IF(Table14[[#This Row],[Description]]="","",C69+1)</f>
        <v/>
      </c>
      <c r="D70" s="27"/>
      <c r="E70" s="28"/>
      <c r="F70" s="29"/>
      <c r="G70" s="29"/>
      <c r="H70" s="29"/>
      <c r="I70" s="49"/>
      <c r="J70" s="50"/>
      <c r="K70" s="51"/>
      <c r="L70" s="52"/>
      <c r="M70" s="49" t="str">
        <f>IF(Table14[[#This Row],[Progress %]]="","",Table14[[#This Row],[Progress %]]*Table14[[#This Row],[Value £]])</f>
        <v/>
      </c>
      <c r="N70" s="53"/>
    </row>
    <row r="71" s="3" customFormat="1" ht="65.15" customHeight="1" spans="2:14">
      <c r="B71" s="25"/>
      <c r="C71" s="26" t="str">
        <f>IF(Table14[[#This Row],[Description]]="","",C70+1)</f>
        <v/>
      </c>
      <c r="D71" s="27"/>
      <c r="E71" s="28"/>
      <c r="F71" s="29"/>
      <c r="G71" s="29"/>
      <c r="H71" s="29"/>
      <c r="I71" s="49"/>
      <c r="J71" s="50"/>
      <c r="K71" s="51"/>
      <c r="L71" s="52"/>
      <c r="M71" s="49" t="str">
        <f>IF(Table14[[#This Row],[Progress %]]="","",Table14[[#This Row],[Progress %]]*Table14[[#This Row],[Value £]])</f>
        <v/>
      </c>
      <c r="N71" s="53"/>
    </row>
    <row r="72" s="3" customFormat="1" ht="65.15" customHeight="1" spans="2:14">
      <c r="B72" s="25"/>
      <c r="C72" s="26" t="str">
        <f>IF(Table14[[#This Row],[Description]]="","",C71+1)</f>
        <v/>
      </c>
      <c r="D72" s="27"/>
      <c r="E72" s="28"/>
      <c r="F72" s="29"/>
      <c r="G72" s="29"/>
      <c r="H72" s="29"/>
      <c r="I72" s="49"/>
      <c r="J72" s="50"/>
      <c r="K72" s="51"/>
      <c r="L72" s="52"/>
      <c r="M72" s="49" t="str">
        <f>IF(Table14[[#This Row],[Progress %]]="","",Table14[[#This Row],[Progress %]]*Table14[[#This Row],[Value £]])</f>
        <v/>
      </c>
      <c r="N72" s="53"/>
    </row>
    <row r="73" s="3" customFormat="1" ht="65.15" customHeight="1" spans="2:14">
      <c r="B73" s="25"/>
      <c r="C73" s="26" t="str">
        <f>IF(Table14[[#This Row],[Description]]="","",C72+1)</f>
        <v/>
      </c>
      <c r="D73" s="27"/>
      <c r="E73" s="61"/>
      <c r="F73" s="29"/>
      <c r="G73" s="29"/>
      <c r="H73" s="29"/>
      <c r="I73" s="49"/>
      <c r="J73" s="50"/>
      <c r="K73" s="67"/>
      <c r="L73" s="68"/>
      <c r="M73" s="69" t="str">
        <f>IF(Table14[[#This Row],[Progress %]]="","",Table14[[#This Row],[Progress %]]*Table14[[#This Row],[Value £]])</f>
        <v/>
      </c>
      <c r="N73" s="53"/>
    </row>
    <row r="74" s="3" customFormat="1" ht="65.15" customHeight="1" spans="2:14">
      <c r="B74" s="25"/>
      <c r="C74" s="26" t="str">
        <f>IF(Table14[[#This Row],[Description]]="","",C73+1)</f>
        <v/>
      </c>
      <c r="D74" s="27"/>
      <c r="E74" s="28"/>
      <c r="F74" s="29"/>
      <c r="G74" s="29"/>
      <c r="H74" s="29"/>
      <c r="I74" s="49"/>
      <c r="J74" s="50"/>
      <c r="K74" s="51"/>
      <c r="L74" s="52"/>
      <c r="M74" s="49" t="str">
        <f>IF(Table14[[#This Row],[Progress %]]="","",Table14[[#This Row],[Progress %]]*Table14[[#This Row],[Value £]])</f>
        <v/>
      </c>
      <c r="N74" s="53"/>
    </row>
    <row r="75" s="3" customFormat="1" ht="65.15" customHeight="1" spans="2:14">
      <c r="B75" s="25"/>
      <c r="C75" s="26" t="str">
        <f>IF(Table14[[#This Row],[Description]]="","",C74+1)</f>
        <v/>
      </c>
      <c r="D75" s="27"/>
      <c r="E75" s="28"/>
      <c r="F75" s="29"/>
      <c r="G75" s="29"/>
      <c r="H75" s="29"/>
      <c r="I75" s="49"/>
      <c r="J75" s="50"/>
      <c r="K75" s="51"/>
      <c r="L75" s="52"/>
      <c r="M75" s="49" t="str">
        <f>IF(Table14[[#This Row],[Progress %]]="","",Table14[[#This Row],[Progress %]]*Table14[[#This Row],[Value £]])</f>
        <v/>
      </c>
      <c r="N75" s="53"/>
    </row>
    <row r="76" s="3" customFormat="1" ht="65.15" customHeight="1" spans="2:14">
      <c r="B76" s="25"/>
      <c r="C76" s="26" t="str">
        <f>IF(Table14[[#This Row],[Description]]="","",C75+1)</f>
        <v/>
      </c>
      <c r="D76" s="27"/>
      <c r="E76" s="28"/>
      <c r="F76" s="29"/>
      <c r="G76" s="29"/>
      <c r="H76" s="29"/>
      <c r="I76" s="49"/>
      <c r="J76" s="50"/>
      <c r="K76" s="51"/>
      <c r="L76" s="52"/>
      <c r="M76" s="49" t="str">
        <f>IF(Table14[[#This Row],[Progress %]]="","",Table14[[#This Row],[Progress %]]*Table14[[#This Row],[Value £]])</f>
        <v/>
      </c>
      <c r="N76" s="53"/>
    </row>
    <row r="77" s="3" customFormat="1" ht="65.15" customHeight="1" spans="2:14">
      <c r="B77" s="25"/>
      <c r="C77" s="26" t="str">
        <f>IF(Table14[[#This Row],[Description]]="","",C76+1)</f>
        <v/>
      </c>
      <c r="D77" s="27"/>
      <c r="E77" s="28"/>
      <c r="F77" s="29"/>
      <c r="G77" s="29"/>
      <c r="H77" s="29"/>
      <c r="I77" s="49"/>
      <c r="J77" s="50"/>
      <c r="K77" s="51"/>
      <c r="L77" s="52"/>
      <c r="M77" s="49" t="str">
        <f>IF(Table14[[#This Row],[Progress %]]="","",Table14[[#This Row],[Progress %]]*Table14[[#This Row],[Value £]])</f>
        <v/>
      </c>
      <c r="N77" s="53"/>
    </row>
    <row r="78" s="3" customFormat="1" ht="65.15" customHeight="1" spans="2:14">
      <c r="B78" s="25"/>
      <c r="C78" s="26" t="str">
        <f>IF(Table14[[#This Row],[Description]]="","",C77+1)</f>
        <v/>
      </c>
      <c r="D78" s="27"/>
      <c r="E78" s="28"/>
      <c r="F78" s="29"/>
      <c r="G78" s="29"/>
      <c r="H78" s="29"/>
      <c r="I78" s="49"/>
      <c r="J78" s="50"/>
      <c r="K78" s="51"/>
      <c r="L78" s="52"/>
      <c r="M78" s="49" t="str">
        <f>IF(Table14[[#This Row],[Progress %]]="","",Table14[[#This Row],[Progress %]]*Table14[[#This Row],[Value £]])</f>
        <v/>
      </c>
      <c r="N78" s="53"/>
    </row>
    <row r="79" s="3" customFormat="1" ht="65.15" customHeight="1" spans="2:14">
      <c r="B79" s="25"/>
      <c r="C79" s="26" t="str">
        <f>IF(Table14[[#This Row],[Description]]="","",C78+1)</f>
        <v/>
      </c>
      <c r="D79" s="27"/>
      <c r="E79" s="28"/>
      <c r="F79" s="29"/>
      <c r="G79" s="29"/>
      <c r="H79" s="29"/>
      <c r="I79" s="49"/>
      <c r="J79" s="50"/>
      <c r="K79" s="51"/>
      <c r="L79" s="52"/>
      <c r="M79" s="49" t="str">
        <f>IF(Table14[[#This Row],[Progress %]]="","",Table14[[#This Row],[Progress %]]*Table14[[#This Row],[Value £]])</f>
        <v/>
      </c>
      <c r="N79" s="53"/>
    </row>
    <row r="80" s="3" customFormat="1" ht="65.15" customHeight="1" spans="2:14">
      <c r="B80" s="25"/>
      <c r="C80" s="26" t="str">
        <f>IF(Table14[[#This Row],[Description]]="","",C79+1)</f>
        <v/>
      </c>
      <c r="D80" s="27"/>
      <c r="E80" s="28"/>
      <c r="F80" s="29"/>
      <c r="G80" s="29"/>
      <c r="H80" s="29"/>
      <c r="I80" s="49"/>
      <c r="J80" s="50"/>
      <c r="K80" s="51"/>
      <c r="L80" s="52"/>
      <c r="M80" s="49" t="str">
        <f>IF(Table14[[#This Row],[Progress %]]="","",Table14[[#This Row],[Progress %]]*Table14[[#This Row],[Value £]])</f>
        <v/>
      </c>
      <c r="N80" s="53"/>
    </row>
    <row r="81" s="3" customFormat="1" ht="65.15" customHeight="1" spans="2:14">
      <c r="B81" s="25"/>
      <c r="C81" s="26" t="str">
        <f>IF(Table14[[#This Row],[Description]]="","",C80+1)</f>
        <v/>
      </c>
      <c r="D81" s="27"/>
      <c r="E81" s="28"/>
      <c r="F81" s="29"/>
      <c r="G81" s="29"/>
      <c r="H81" s="29"/>
      <c r="I81" s="49"/>
      <c r="J81" s="50"/>
      <c r="K81" s="51"/>
      <c r="L81" s="52"/>
      <c r="M81" s="49" t="str">
        <f>IF(Table14[[#This Row],[Progress %]]="","",Table14[[#This Row],[Progress %]]*Table14[[#This Row],[Value £]])</f>
        <v/>
      </c>
      <c r="N81" s="53"/>
    </row>
    <row r="82" s="3" customFormat="1" ht="65.15" customHeight="1" spans="2:14">
      <c r="B82" s="25"/>
      <c r="C82" s="26" t="str">
        <f>IF(Table14[[#This Row],[Description]]="","",C81+1)</f>
        <v/>
      </c>
      <c r="D82" s="27"/>
      <c r="E82" s="28"/>
      <c r="F82" s="29"/>
      <c r="G82" s="29"/>
      <c r="H82" s="29"/>
      <c r="I82" s="49"/>
      <c r="J82" s="50"/>
      <c r="K82" s="51"/>
      <c r="L82" s="52"/>
      <c r="M82" s="49" t="str">
        <f>IF(Table14[[#This Row],[Progress %]]="","",Table14[[#This Row],[Progress %]]*Table14[[#This Row],[Value £]])</f>
        <v/>
      </c>
      <c r="N82" s="53"/>
    </row>
    <row r="83" s="3" customFormat="1" ht="65.15" customHeight="1" spans="2:14">
      <c r="B83" s="25"/>
      <c r="C83" s="26" t="str">
        <f>IF(Table14[[#This Row],[Description]]="","",C82+1)</f>
        <v/>
      </c>
      <c r="D83" s="27"/>
      <c r="E83" s="28"/>
      <c r="F83" s="29"/>
      <c r="G83" s="29"/>
      <c r="H83" s="29"/>
      <c r="I83" s="49"/>
      <c r="J83" s="50"/>
      <c r="K83" s="51"/>
      <c r="L83" s="52"/>
      <c r="M83" s="49" t="str">
        <f>IF(Table14[[#This Row],[Progress %]]="","",Table14[[#This Row],[Progress %]]*Table14[[#This Row],[Value £]])</f>
        <v/>
      </c>
      <c r="N83" s="53"/>
    </row>
    <row r="84" s="3" customFormat="1" ht="65.15" customHeight="1" spans="2:14">
      <c r="B84" s="25"/>
      <c r="C84" s="26" t="str">
        <f>IF(Table14[[#This Row],[Description]]="","",C83+1)</f>
        <v/>
      </c>
      <c r="D84" s="27"/>
      <c r="E84" s="28"/>
      <c r="F84" s="29"/>
      <c r="G84" s="29"/>
      <c r="H84" s="29"/>
      <c r="I84" s="49"/>
      <c r="J84" s="50"/>
      <c r="K84" s="51"/>
      <c r="L84" s="52"/>
      <c r="M84" s="49" t="str">
        <f>IF(Table14[[#This Row],[Progress %]]="","",Table14[[#This Row],[Progress %]]*Table14[[#This Row],[Value £]])</f>
        <v/>
      </c>
      <c r="N84" s="53"/>
    </row>
    <row r="85" s="3" customFormat="1" ht="65.15" customHeight="1" spans="2:14">
      <c r="B85" s="25"/>
      <c r="C85" s="26" t="str">
        <f>IF(Table14[[#This Row],[Description]]="","",C84+1)</f>
        <v/>
      </c>
      <c r="D85" s="27"/>
      <c r="E85" s="28"/>
      <c r="F85" s="29"/>
      <c r="G85" s="29"/>
      <c r="H85" s="29"/>
      <c r="I85" s="49"/>
      <c r="J85" s="50"/>
      <c r="K85" s="51"/>
      <c r="L85" s="52"/>
      <c r="M85" s="49" t="str">
        <f>IF(Table14[[#This Row],[Progress %]]="","",Table14[[#This Row],[Progress %]]*Table14[[#This Row],[Value £]])</f>
        <v/>
      </c>
      <c r="N85" s="53"/>
    </row>
    <row r="86" s="3" customFormat="1" ht="65.15" customHeight="1" spans="2:14">
      <c r="B86" s="25"/>
      <c r="C86" s="26" t="str">
        <f>IF(Table14[[#This Row],[Description]]="","",C85+1)</f>
        <v/>
      </c>
      <c r="D86" s="27"/>
      <c r="E86" s="28"/>
      <c r="F86" s="29"/>
      <c r="G86" s="29"/>
      <c r="H86" s="29"/>
      <c r="I86" s="49"/>
      <c r="J86" s="50"/>
      <c r="K86" s="51"/>
      <c r="L86" s="52"/>
      <c r="M86" s="49" t="str">
        <f>IF(Table14[[#This Row],[Progress %]]="","",Table14[[#This Row],[Progress %]]*Table14[[#This Row],[Value £]])</f>
        <v/>
      </c>
      <c r="N86" s="53"/>
    </row>
    <row r="87" s="3" customFormat="1" ht="65.15" customHeight="1" spans="2:14">
      <c r="B87" s="25"/>
      <c r="C87" s="26" t="str">
        <f>IF(Table14[[#This Row],[Description]]="","",C86+1)</f>
        <v/>
      </c>
      <c r="D87" s="27"/>
      <c r="E87" s="28"/>
      <c r="F87" s="29"/>
      <c r="G87" s="29"/>
      <c r="H87" s="29"/>
      <c r="I87" s="49"/>
      <c r="J87" s="50"/>
      <c r="K87" s="51"/>
      <c r="L87" s="52"/>
      <c r="M87" s="49" t="str">
        <f>IF(Table14[[#This Row],[Progress %]]="","",Table14[[#This Row],[Progress %]]*Table14[[#This Row],[Value £]])</f>
        <v/>
      </c>
      <c r="N87" s="53"/>
    </row>
    <row r="88" s="3" customFormat="1" ht="65.15" customHeight="1" spans="2:14">
      <c r="B88" s="25"/>
      <c r="C88" s="26" t="str">
        <f>IF(Table14[[#This Row],[Description]]="","",C87+1)</f>
        <v/>
      </c>
      <c r="D88" s="27"/>
      <c r="E88" s="28"/>
      <c r="F88" s="29"/>
      <c r="G88" s="29"/>
      <c r="H88" s="29"/>
      <c r="I88" s="49"/>
      <c r="J88" s="50"/>
      <c r="K88" s="51"/>
      <c r="L88" s="52"/>
      <c r="M88" s="49" t="str">
        <f>IF(Table14[[#This Row],[Progress %]]="","",Table14[[#This Row],[Progress %]]*Table14[[#This Row],[Value £]])</f>
        <v/>
      </c>
      <c r="N88" s="53"/>
    </row>
    <row r="89" s="3" customFormat="1" ht="65.15" customHeight="1" spans="2:14">
      <c r="B89" s="62"/>
      <c r="C89" s="63" t="str">
        <f>IF(Table14[[#This Row],[Description]]="","",C88+1)</f>
        <v/>
      </c>
      <c r="D89" s="64"/>
      <c r="E89" s="65"/>
      <c r="F89" s="66"/>
      <c r="G89" s="66"/>
      <c r="H89" s="66"/>
      <c r="I89" s="70"/>
      <c r="J89" s="71"/>
      <c r="K89" s="72"/>
      <c r="L89" s="73"/>
      <c r="M89" s="70" t="str">
        <f>IF(Table14[[#This Row],[Progress %]]="","",Table14[[#This Row],[Progress %]]*Table14[[#This Row],[Value £]])</f>
        <v/>
      </c>
      <c r="N89" s="53"/>
    </row>
  </sheetData>
  <mergeCells count="2">
    <mergeCell ref="I2:J2"/>
    <mergeCell ref="C10:D10"/>
  </mergeCells>
  <conditionalFormatting sqref="I14:I89">
    <cfRule type="cellIs" dxfId="0" priority="3" operator="equal">
      <formula>"Agreed"</formula>
    </cfRule>
  </conditionalFormatting>
  <conditionalFormatting sqref="F48:G48 F49:H1048576 F13:H47">
    <cfRule type="cellIs" dxfId="1" priority="2" operator="equal">
      <formula>"tbc"</formula>
    </cfRule>
  </conditionalFormatting>
  <conditionalFormatting sqref="F14:G19 F20:F21">
    <cfRule type="expression" dxfId="2" priority="4">
      <formula>$H14="Agreed"</formula>
    </cfRule>
  </conditionalFormatting>
  <dataValidations count="2">
    <dataValidation type="list" allowBlank="1" showInputMessage="1" showErrorMessage="1" sqref="G14:G89">
      <formula1>"Yes,No"</formula1>
    </dataValidation>
    <dataValidation type="list" allowBlank="1" showInputMessage="1" showErrorMessage="1" sqref="I14:I89">
      <formula1>"Agreed,To be Agreed"</formula1>
    </dataValidation>
  </dataValidations>
  <printOptions horizontalCentered="1"/>
  <pageMargins left="0.708333333333333" right="0.708333333333333" top="0.595833333333333" bottom="0.747916666666667" header="0.511805555555555" footer="0.511805555555555"/>
  <pageSetup paperSize="8" firstPageNumber="0" fitToHeight="0" orientation="portrait" useFirstPageNumber="1" horizontalDpi="300" verticalDpi="300"/>
  <headerFooter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LibreOffice/6.4.7.2$Linux_X86_64 LibreOffice_project/40$Build-2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AFP Summary</vt:lpstr>
      <vt:lpstr>BoQ_Summary</vt:lpstr>
      <vt:lpstr>BoQ_Detailed </vt:lpstr>
      <vt:lpstr>Variation Register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Thompson</dc:creator>
  <cp:lastModifiedBy>Web Dev</cp:lastModifiedBy>
  <cp:revision>4</cp:revision>
  <dcterms:created xsi:type="dcterms:W3CDTF">2023-08-20T20:32:00Z</dcterms:created>
  <cp:lastPrinted>2024-10-01T15:29:00Z</cp:lastPrinted>
  <dcterms:modified xsi:type="dcterms:W3CDTF">2024-10-28T07:03:26Z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  <property fmtid="{D5CDD505-2E9C-101B-9397-08002B2CF9AE}" pid="15" name="ICV">
    <vt:lpwstr>9E248335E2924A6EA8126221DFB5851B_12</vt:lpwstr>
  </property>
  <property fmtid="{D5CDD505-2E9C-101B-9397-08002B2CF9AE}" pid="16" name="KSOProductBuildVer">
    <vt:lpwstr>1033-12.2.0.18607</vt:lpwstr>
  </property>
</Properties>
</file>