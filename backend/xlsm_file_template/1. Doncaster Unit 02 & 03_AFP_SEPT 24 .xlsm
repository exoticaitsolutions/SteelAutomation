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media/image1.jpeg" ContentType="image/jpeg"/>
  <Override PartName="/xl/media/image2.png" ContentType="image/png"/>
  <Override PartName="/xl/media/image3.jpeg" ContentType="image/jpeg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1.xml" ContentType="application/vnd.openxmlformats-officedocument.spreadsheetml.table+xml"/>
  <Override PartName="/xl/pivotCache/_rels/pivotCacheDefinition1.xml.rels" ContentType="application/vnd.openxmlformats-package.relationship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AFP Summary" sheetId="1" state="visible" r:id="rId2"/>
    <sheet name="BoQ_Summary" sheetId="2" state="visible" r:id="rId3"/>
    <sheet name="BoQ_Detailed " sheetId="3" state="visible" r:id="rId4"/>
    <sheet name="Variation Register" sheetId="4" state="visible" r:id="rId5"/>
  </sheets>
  <definedNames>
    <definedName function="false" hidden="false" localSheetId="0" name="_xlnm.Print_Area" vbProcedure="false">'AFP Summary'!$A$1:$J$39</definedName>
    <definedName function="false" hidden="false" localSheetId="1" name="_xlnm.Print_Area" vbProcedure="false">BoQ_Summary!$A$1:$K$10</definedName>
    <definedName function="false" hidden="false" localSheetId="3" name="_xlnm.Print_Area" vbProcedure="false">'Variation Register'!$A$1:$O$90</definedName>
    <definedName function="false" hidden="false" localSheetId="3" name="_xlnm.Print_Titles" vbProcedure="false">'Variation Register'!$1:$13</definedName>
    <definedName function="false" hidden="false" name="Description" vbProcedure="false">'[1]daywork rates'!$b:$b</definedName>
    <definedName function="false" hidden="false" name="LabourList1" vbProcedure="false">'[2]daywork rates'!$b:$b</definedName>
    <definedName function="false" hidden="false" name="PlantList" vbProcedure="false">'[1]daywork rates'!$g:$g</definedName>
    <definedName function="false" hidden="false" name="PlantList1" vbProcedure="false">'[2]daywork rates'!$g:$g</definedName>
  </definedNames>
  <calcPr iterateCount="100" refMode="A1" iterate="false" iterateDelta="0.0001"/>
  <pivotCaches>
    <pivotCache cacheId="1" r:id="rId7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<sst xmlns="http://schemas.openxmlformats.org/spreadsheetml/2006/main" count="311" uniqueCount="116">
  <si>
    <t xml:space="preserve">Application For Payment</t>
  </si>
  <si>
    <t xml:space="preserve">Struct Steel Engineering Ltd. </t>
  </si>
  <si>
    <t xml:space="preserve">38 Farnamullan Road, Faughard, Enniskillen, United </t>
  </si>
  <si>
    <t xml:space="preserve">+44 28 6638 7001</t>
  </si>
  <si>
    <t xml:space="preserve">structsteeleng.co.uk</t>
  </si>
  <si>
    <t xml:space="preserve">Client</t>
  </si>
  <si>
    <t xml:space="preserve">Project:</t>
  </si>
  <si>
    <t xml:space="preserve">Doncaster Unit 02 &amp; 03</t>
  </si>
  <si>
    <t xml:space="preserve">Fit Out (UK) Ltd</t>
  </si>
  <si>
    <t xml:space="preserve">Application Number:</t>
  </si>
  <si>
    <t xml:space="preserve">27 Abbey Rd, London</t>
  </si>
  <si>
    <t xml:space="preserve">For Works Complete to:</t>
  </si>
  <si>
    <t xml:space="preserve"> NW10 7SJ, United Kingdom</t>
  </si>
  <si>
    <t xml:space="preserve">Application Date:</t>
  </si>
  <si>
    <t xml:space="preserve">Payment Date:</t>
  </si>
  <si>
    <t xml:space="preserve">Ref</t>
  </si>
  <si>
    <t xml:space="preserve">Category</t>
  </si>
  <si>
    <t xml:space="preserve">Zone</t>
  </si>
  <si>
    <t xml:space="preserve">Account Total</t>
  </si>
  <si>
    <t xml:space="preserve">% Progress</t>
  </si>
  <si>
    <t xml:space="preserve">Interim Payment</t>
  </si>
  <si>
    <t xml:space="preserve">Comment</t>
  </si>
  <si>
    <t xml:space="preserve">Variations</t>
  </si>
  <si>
    <t xml:space="preserve">Progress Total</t>
  </si>
  <si>
    <t xml:space="preserve">Overall Progress</t>
  </si>
  <si>
    <t xml:space="preserve"> </t>
  </si>
  <si>
    <t xml:space="preserve">Retention</t>
  </si>
  <si>
    <t xml:space="preserve">Nett Certified To Date</t>
  </si>
  <si>
    <t xml:space="preserve">Nett Payment Due</t>
  </si>
  <si>
    <t xml:space="preserve">BOQ Summary</t>
  </si>
  <si>
    <t xml:space="preserve">Item</t>
  </si>
  <si>
    <t xml:space="preserve">QTY</t>
  </si>
  <si>
    <t xml:space="preserve">UNIT</t>
  </si>
  <si>
    <t xml:space="preserve">RATE</t>
  </si>
  <si>
    <t xml:space="preserve">TOTAL</t>
  </si>
  <si>
    <t xml:space="preserve">Progress %</t>
  </si>
  <si>
    <t xml:space="preserve">Progress £</t>
  </si>
  <si>
    <t xml:space="preserve">Notes</t>
  </si>
  <si>
    <t xml:space="preserve">Steel</t>
  </si>
  <si>
    <t xml:space="preserve">Unit 2</t>
  </si>
  <si>
    <t xml:space="preserve">tn</t>
  </si>
  <si>
    <t xml:space="preserve">Galv</t>
  </si>
  <si>
    <t xml:space="preserve">Cold Rolled</t>
  </si>
  <si>
    <t xml:space="preserve">m</t>
  </si>
  <si>
    <t xml:space="preserve">Unit 3</t>
  </si>
  <si>
    <t xml:space="preserve">Ref </t>
  </si>
  <si>
    <t xml:space="preserve">Cat</t>
  </si>
  <si>
    <t xml:space="preserve">Type</t>
  </si>
  <si>
    <t xml:space="preserve">ACW</t>
  </si>
  <si>
    <t xml:space="preserve">Pcs</t>
  </si>
  <si>
    <t xml:space="preserve">Unit</t>
  </si>
  <si>
    <t xml:space="preserve">Rate </t>
  </si>
  <si>
    <t xml:space="preserve">Total </t>
  </si>
  <si>
    <t xml:space="preserve">stanchions; member profile not exceeding 25kg/m</t>
  </si>
  <si>
    <t xml:space="preserve">Steelwork Supply &amp; Install</t>
  </si>
  <si>
    <t xml:space="preserve">Sum of QTY</t>
  </si>
  <si>
    <t xml:space="preserve">beams; member profile 25 - 50kg/m</t>
  </si>
  <si>
    <t xml:space="preserve">CHS139.7*5.0</t>
  </si>
  <si>
    <t xml:space="preserve">Beam</t>
  </si>
  <si>
    <t xml:space="preserve">tonne</t>
  </si>
  <si>
    <t xml:space="preserve">beams; member profile 50 - 100kg/m</t>
  </si>
  <si>
    <t xml:space="preserve">stanchions; member profile 25 - 50kg/m</t>
  </si>
  <si>
    <t xml:space="preserve">SHS140*140*5.0</t>
  </si>
  <si>
    <t xml:space="preserve">SHS160*160*6.3</t>
  </si>
  <si>
    <t xml:space="preserve">SHS200*200*8.0</t>
  </si>
  <si>
    <t xml:space="preserve">UB203*133*25</t>
  </si>
  <si>
    <t xml:space="preserve">UB457*152*52</t>
  </si>
  <si>
    <t xml:space="preserve">Total Result</t>
  </si>
  <si>
    <t xml:space="preserve">CHS114.3*5.0</t>
  </si>
  <si>
    <t xml:space="preserve">Bracing</t>
  </si>
  <si>
    <t xml:space="preserve">CHS168.3*5.0</t>
  </si>
  <si>
    <t xml:space="preserve">PFC-200*90*30</t>
  </si>
  <si>
    <t xml:space="preserve">Column</t>
  </si>
  <si>
    <t xml:space="preserve">UB356*171*45</t>
  </si>
  <si>
    <t xml:space="preserve">UB457*152*67</t>
  </si>
  <si>
    <t xml:space="preserve">UB356*127*33</t>
  </si>
  <si>
    <t xml:space="preserve">Purlin</t>
  </si>
  <si>
    <t xml:space="preserve">PFC-200*75*23</t>
  </si>
  <si>
    <t xml:space="preserve">SHS160*160*5.0</t>
  </si>
  <si>
    <t xml:space="preserve">UB305*165*46</t>
  </si>
  <si>
    <t xml:space="preserve">UB533*210*82</t>
  </si>
  <si>
    <t xml:space="preserve">SHS300*300*16.0</t>
  </si>
  <si>
    <t xml:space="preserve">UB686*254*125</t>
  </si>
  <si>
    <t xml:space="preserve">Door Frame</t>
  </si>
  <si>
    <t xml:space="preserve">Fittings</t>
  </si>
  <si>
    <t xml:space="preserve">Cold Rolled Supply &amp; Install</t>
  </si>
  <si>
    <t xml:space="preserve">202 C 18</t>
  </si>
  <si>
    <t xml:space="preserve">232 Z 16</t>
  </si>
  <si>
    <t xml:space="preserve">232 Z 23</t>
  </si>
  <si>
    <t xml:space="preserve">232 Z 18</t>
  </si>
  <si>
    <t xml:space="preserve">Total:</t>
  </si>
  <si>
    <t xml:space="preserve">Variation Account Total</t>
  </si>
  <si>
    <t xml:space="preserve">Agreed Value </t>
  </si>
  <si>
    <t xml:space="preserve">Variation Register</t>
  </si>
  <si>
    <t xml:space="preserve">To be Agreed</t>
  </si>
  <si>
    <t xml:space="preserve">Progress Total </t>
  </si>
  <si>
    <t xml:space="preserve">Agreed %</t>
  </si>
  <si>
    <t xml:space="preserve">No. of Variations</t>
  </si>
  <si>
    <t xml:space="preserve">No. of Variations Agreed</t>
  </si>
  <si>
    <t xml:space="preserve">Variations to be Priced</t>
  </si>
  <si>
    <t xml:space="preserve">Client Ref</t>
  </si>
  <si>
    <t xml:space="preserve"> VO</t>
  </si>
  <si>
    <t xml:space="preserve">Description</t>
  </si>
  <si>
    <t xml:space="preserve">Submission </t>
  </si>
  <si>
    <t xml:space="preserve">Value £</t>
  </si>
  <si>
    <t xml:space="preserve">Dayworks  </t>
  </si>
  <si>
    <t xml:space="preserve">Daywork Total</t>
  </si>
  <si>
    <t xml:space="preserve">Status</t>
  </si>
  <si>
    <t xml:space="preserve">Date Agreed</t>
  </si>
  <si>
    <t xml:space="preserve">Progress Notes</t>
  </si>
  <si>
    <t xml:space="preserve">Intumescent Paint Off Site Application </t>
  </si>
  <si>
    <t xml:space="preserve">Agreed</t>
  </si>
  <si>
    <t xml:space="preserve">In line with S/C % Complete</t>
  </si>
  <si>
    <t xml:space="preserve">Adds &amp; Omits ; Tender Vs Construction </t>
  </si>
  <si>
    <t xml:space="preserve">TBC</t>
  </si>
  <si>
    <t xml:space="preserve">NEW STEELWOIRK </t>
  </si>
</sst>
</file>

<file path=xl/styles.xml><?xml version="1.0" encoding="utf-8"?>
<styleSheet xmlns="http://schemas.openxmlformats.org/spreadsheetml/2006/main">
  <numFmts count="21">
    <numFmt numFmtId="164" formatCode="General"/>
    <numFmt numFmtId="165" formatCode="_-\£* #,##0.00_-;&quot;-£&quot;* #,##0.00_-;_-\£* \-??_-;_-@_-"/>
    <numFmt numFmtId="166" formatCode="0%"/>
    <numFmt numFmtId="167" formatCode="00000\-0000"/>
    <numFmt numFmtId="168" formatCode="&quot;00&quot;0"/>
    <numFmt numFmtId="169" formatCode="[$-F800]dddd&quot;, &quot;mmmm\ dd&quot;, &quot;yyyy"/>
    <numFmt numFmtId="170" formatCode="[$€-2]\ #,##0.00"/>
    <numFmt numFmtId="171" formatCode="General"/>
    <numFmt numFmtId="172" formatCode="0"/>
    <numFmt numFmtId="173" formatCode="_-\£* #,##0_-;&quot;-£&quot;* #,##0_-;_-\£* \-??_-;_-@_-"/>
    <numFmt numFmtId="174" formatCode="\£#,##0"/>
    <numFmt numFmtId="175" formatCode="0&quot; no.&quot;"/>
    <numFmt numFmtId="176" formatCode="0.0%"/>
    <numFmt numFmtId="177" formatCode="\£#,##0.00"/>
    <numFmt numFmtId="178" formatCode="0.000"/>
    <numFmt numFmtId="179" formatCode="0.000&quot; tn&quot;"/>
    <numFmt numFmtId="180" formatCode="0&quot; KG&quot;"/>
    <numFmt numFmtId="181" formatCode="0&quot; kg&quot;"/>
    <numFmt numFmtId="182" formatCode="&quot;SI &quot;0"/>
    <numFmt numFmtId="183" formatCode="0.00%"/>
    <numFmt numFmtId="184" formatCode="&quot;SI 0&quot;0"/>
  </numFmts>
  <fonts count="62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0"/>
      <color rgb="FF000000"/>
      <name val="Arial Nova"/>
      <family val="2"/>
      <charset val="1"/>
    </font>
    <font>
      <sz val="28"/>
      <color rgb="FF000000"/>
      <name val="Arial Nova"/>
      <family val="2"/>
      <charset val="1"/>
    </font>
    <font>
      <sz val="26"/>
      <color rgb="FFE32827"/>
      <name val="Arial Nova"/>
      <family val="2"/>
      <charset val="1"/>
    </font>
    <font>
      <sz val="16"/>
      <color rgb="FF000000"/>
      <name val="Arial Nova"/>
      <family val="2"/>
      <charset val="1"/>
    </font>
    <font>
      <sz val="18"/>
      <color rgb="FF8D8E8E"/>
      <name val="Arial Nova"/>
      <family val="2"/>
      <charset val="1"/>
    </font>
    <font>
      <sz val="10"/>
      <color rgb="FF262628"/>
      <name val="Arial Nova"/>
      <family val="2"/>
      <charset val="1"/>
    </font>
    <font>
      <sz val="12"/>
      <color rgb="FF262628"/>
      <name val="Arial Nova"/>
      <family val="2"/>
      <charset val="1"/>
    </font>
    <font>
      <b val="true"/>
      <sz val="11"/>
      <color rgb="FF262628"/>
      <name val="Arial Nova"/>
      <family val="2"/>
      <charset val="1"/>
    </font>
    <font>
      <sz val="11"/>
      <color rgb="FFE32827"/>
      <name val="Arial Nova"/>
      <family val="2"/>
      <charset val="1"/>
    </font>
    <font>
      <sz val="10"/>
      <color rgb="FF203864"/>
      <name val="Arial Nova"/>
      <family val="2"/>
      <charset val="1"/>
    </font>
    <font>
      <sz val="11"/>
      <color rgb="FF262628"/>
      <name val="Arial Nova"/>
      <family val="2"/>
      <charset val="1"/>
    </font>
    <font>
      <sz val="11"/>
      <color rgb="FF065A98"/>
      <name val="Arial Nova"/>
      <family val="2"/>
      <charset val="1"/>
    </font>
    <font>
      <b val="true"/>
      <sz val="11"/>
      <color rgb="FFFFFFFF"/>
      <name val="Arial Nova"/>
      <family val="2"/>
      <charset val="1"/>
    </font>
    <font>
      <b val="true"/>
      <sz val="10"/>
      <color rgb="FF0D0D0D"/>
      <name val="Arial Nova"/>
      <family val="2"/>
      <charset val="1"/>
    </font>
    <font>
      <sz val="11"/>
      <color rgb="FF0D0D0D"/>
      <name val="Arial Nova"/>
      <family val="2"/>
      <charset val="1"/>
    </font>
    <font>
      <sz val="9"/>
      <color rgb="FF0D0D0D"/>
      <name val="Arial Nova"/>
      <family val="2"/>
      <charset val="1"/>
    </font>
    <font>
      <sz val="10"/>
      <color rgb="FF0D0D0D"/>
      <name val="Arial Nova"/>
      <family val="2"/>
      <charset val="1"/>
    </font>
    <font>
      <b val="true"/>
      <sz val="10"/>
      <color rgb="FF203864"/>
      <name val="Arial Nova"/>
      <family val="2"/>
      <charset val="1"/>
    </font>
    <font>
      <b val="true"/>
      <sz val="10"/>
      <color rgb="FF000000"/>
      <name val="Arial Nova"/>
      <family val="2"/>
      <charset val="1"/>
    </font>
    <font>
      <b val="true"/>
      <sz val="11"/>
      <color rgb="FF000000"/>
      <name val="Arial Nova"/>
      <family val="2"/>
      <charset val="1"/>
    </font>
    <font>
      <b val="true"/>
      <sz val="9"/>
      <color rgb="FF000000"/>
      <name val="Arial Nova"/>
      <family val="2"/>
      <charset val="1"/>
    </font>
    <font>
      <sz val="9"/>
      <color rgb="FF203864"/>
      <name val="Arial Nova"/>
      <family val="2"/>
      <charset val="1"/>
    </font>
    <font>
      <sz val="13"/>
      <color rgb="FFFFFFFF"/>
      <name val="Arial Nova"/>
      <family val="2"/>
      <charset val="1"/>
    </font>
    <font>
      <sz val="14"/>
      <color rgb="FFFFFFFF"/>
      <name val="Arial Nova"/>
      <family val="2"/>
      <charset val="1"/>
    </font>
    <font>
      <sz val="11"/>
      <color rgb="FF000000"/>
      <name val="Arial Narrow"/>
      <family val="2"/>
      <charset val="1"/>
    </font>
    <font>
      <b val="true"/>
      <sz val="12"/>
      <color rgb="FF000000"/>
      <name val="Arial Nova"/>
      <family val="2"/>
      <charset val="1"/>
    </font>
    <font>
      <b val="true"/>
      <sz val="10"/>
      <color rgb="FFFFFFFF"/>
      <name val="Arial Narrow"/>
      <family val="2"/>
      <charset val="1"/>
    </font>
    <font>
      <b val="true"/>
      <sz val="10"/>
      <color rgb="FF030303"/>
      <name val="Arial Narrow"/>
      <family val="2"/>
      <charset val="1"/>
    </font>
    <font>
      <sz val="10"/>
      <name val="Arial Narrow"/>
      <family val="2"/>
      <charset val="1"/>
    </font>
    <font>
      <sz val="10"/>
      <color rgb="FF030303"/>
      <name val="Arial Narrow"/>
      <family val="2"/>
      <charset val="1"/>
    </font>
    <font>
      <b val="true"/>
      <sz val="11"/>
      <color rgb="FF000000"/>
      <name val="Arial Narrow"/>
      <family val="2"/>
      <charset val="1"/>
    </font>
    <font>
      <b val="true"/>
      <sz val="11"/>
      <color rgb="FFFFFFFF"/>
      <name val="Arial Narrow"/>
      <family val="2"/>
      <charset val="1"/>
    </font>
    <font>
      <b val="true"/>
      <sz val="11"/>
      <color rgb="FF000000"/>
      <name val="Ariasl"/>
      <family val="0"/>
      <charset val="1"/>
    </font>
    <font>
      <sz val="11"/>
      <color rgb="FF000000"/>
      <name val="Ariasl"/>
      <family val="0"/>
      <charset val="1"/>
    </font>
    <font>
      <sz val="16"/>
      <color rgb="FF000000"/>
      <name val="Ariasl"/>
      <family val="0"/>
      <charset val="1"/>
    </font>
    <font>
      <b val="true"/>
      <sz val="10"/>
      <color rgb="FF000000"/>
      <name val="Arial Narrow"/>
      <family val="2"/>
      <charset val="1"/>
    </font>
    <font>
      <sz val="10"/>
      <color rgb="FF000000"/>
      <name val="Arial Narrow"/>
      <family val="2"/>
      <charset val="1"/>
    </font>
    <font>
      <i val="true"/>
      <sz val="26"/>
      <color rgb="FF000000"/>
      <name val="Ariasl"/>
      <family val="0"/>
      <charset val="1"/>
    </font>
    <font>
      <b val="true"/>
      <i val="true"/>
      <sz val="26"/>
      <color rgb="FF000000"/>
      <name val="Ariasl"/>
      <family val="0"/>
      <charset val="1"/>
    </font>
    <font>
      <sz val="9"/>
      <color rgb="FF000000"/>
      <name val="Arial"/>
      <family val="2"/>
      <charset val="1"/>
    </font>
    <font>
      <b val="true"/>
      <sz val="22"/>
      <color rgb="FFFFFFFF"/>
      <name val="Arial Nova"/>
      <family val="2"/>
      <charset val="1"/>
    </font>
    <font>
      <b val="true"/>
      <sz val="22"/>
      <color rgb="FFFFFFFF"/>
      <name val="Arial"/>
      <family val="2"/>
      <charset val="1"/>
    </font>
    <font>
      <sz val="20"/>
      <color rgb="FF262628"/>
      <name val="Arial Nova"/>
      <family val="2"/>
      <charset val="1"/>
    </font>
    <font>
      <b val="true"/>
      <sz val="22"/>
      <color rgb="FF065A98"/>
      <name val="Arial Nova"/>
      <family val="2"/>
      <charset val="1"/>
    </font>
    <font>
      <sz val="22"/>
      <color rgb="FF000000"/>
      <name val="Arial Nova"/>
      <family val="2"/>
      <charset val="1"/>
    </font>
    <font>
      <b val="true"/>
      <sz val="22"/>
      <color rgb="FF000000"/>
      <name val="Arial"/>
      <family val="2"/>
      <charset val="1"/>
    </font>
    <font>
      <b val="true"/>
      <sz val="48"/>
      <color rgb="FF394AA9"/>
      <name val="Arial"/>
      <family val="2"/>
      <charset val="1"/>
    </font>
    <font>
      <b val="true"/>
      <sz val="48"/>
      <color rgb="FF000000"/>
      <name val="Arial"/>
      <family val="2"/>
      <charset val="1"/>
    </font>
    <font>
      <sz val="22"/>
      <color rgb="FF8D8E8E"/>
      <name val="Arial Nova"/>
      <family val="2"/>
      <charset val="1"/>
    </font>
    <font>
      <sz val="16"/>
      <color rgb="FF000000"/>
      <name val="Arial"/>
      <family val="2"/>
      <charset val="1"/>
    </font>
    <font>
      <sz val="22"/>
      <color rgb="FF262628"/>
      <name val="Arial Nova"/>
      <family val="2"/>
      <charset val="1"/>
    </font>
    <font>
      <sz val="22"/>
      <color rgb="FFFFFFFF"/>
      <name val="Arial Nova"/>
      <family val="2"/>
      <charset val="1"/>
    </font>
    <font>
      <sz val="18"/>
      <color rgb="FF000000"/>
      <name val="Arial"/>
      <family val="2"/>
      <charset val="1"/>
    </font>
    <font>
      <sz val="24"/>
      <color rgb="FF000000"/>
      <name val="Arial Narrow"/>
      <family val="2"/>
      <charset val="1"/>
    </font>
    <font>
      <sz val="24"/>
      <name val="Arial Narrow"/>
      <family val="2"/>
      <charset val="1"/>
    </font>
    <font>
      <i val="true"/>
      <sz val="24"/>
      <color rgb="FFFF0000"/>
      <name val="Arial Narrow"/>
      <family val="2"/>
      <charset val="1"/>
    </font>
    <font>
      <sz val="24"/>
      <color rgb="FFFF0000"/>
      <name val="Arial Narrow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65A98"/>
        <bgColor rgb="FF008080"/>
      </patternFill>
    </fill>
    <fill>
      <patternFill patternType="solid">
        <fgColor rgb="FF8D8E8E"/>
        <bgColor rgb="FF808080"/>
      </patternFill>
    </fill>
    <fill>
      <patternFill patternType="solid">
        <fgColor rgb="FFFFFFFF"/>
        <bgColor rgb="FFF2F2F2"/>
      </patternFill>
    </fill>
    <fill>
      <patternFill patternType="solid">
        <fgColor rgb="FFE32827"/>
        <bgColor rgb="FFFF0000"/>
      </patternFill>
    </fill>
    <fill>
      <patternFill patternType="solid">
        <fgColor rgb="FFFF0000"/>
        <bgColor rgb="FFE32827"/>
      </patternFill>
    </fill>
    <fill>
      <patternFill patternType="solid">
        <fgColor rgb="FFF2F2F2"/>
        <bgColor rgb="FFFFFFFF"/>
      </patternFill>
    </fill>
    <fill>
      <patternFill patternType="solid">
        <fgColor rgb="FF808080"/>
        <bgColor rgb="FF8D8E8E"/>
      </patternFill>
    </fill>
  </fills>
  <borders count="34">
    <border diagonalUp="false" diagonalDown="false">
      <left/>
      <right/>
      <top/>
      <bottom/>
      <diagonal/>
    </border>
    <border diagonalUp="false" diagonalDown="false">
      <left/>
      <right/>
      <top/>
      <bottom style="medium">
        <color rgb="FF8D8E8E"/>
      </bottom>
      <diagonal/>
    </border>
    <border diagonalUp="false" diagonalDown="false">
      <left/>
      <right/>
      <top style="medium">
        <color rgb="FFFF0000"/>
      </top>
      <bottom style="medium">
        <color rgb="FFFF0000"/>
      </bottom>
      <diagonal/>
    </border>
    <border diagonalUp="false" diagonalDown="false">
      <left/>
      <right/>
      <top style="medium">
        <color rgb="FF8D8E8E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medium">
        <color rgb="FF8D8E8E"/>
      </bottom>
      <diagonal/>
    </border>
    <border diagonalUp="false" diagonalDown="false">
      <left/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/>
      <diagonal/>
    </border>
    <border diagonalUp="false" diagonalDown="false">
      <left/>
      <right/>
      <top style="thin">
        <color rgb="FFD9D9D9"/>
      </top>
      <bottom style="medium">
        <color rgb="FFFF0000"/>
      </bottom>
      <diagonal/>
    </border>
    <border diagonalUp="false" diagonalDown="false">
      <left/>
      <right/>
      <top style="medium">
        <color rgb="FF808080"/>
      </top>
      <bottom style="medium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F2F2F2"/>
      </bottom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F2F2F2"/>
      </top>
      <bottom style="thin">
        <color rgb="FFF2F2F2"/>
      </bottom>
      <diagonal/>
    </border>
    <border diagonalUp="false" diagonalDown="false">
      <left style="thin">
        <color rgb="FF181717"/>
      </left>
      <right style="thin">
        <color rgb="FF181717"/>
      </right>
      <top style="thin">
        <color rgb="FF181717"/>
      </top>
      <bottom style="thin">
        <color rgb="FF181717"/>
      </bottom>
      <diagonal/>
    </border>
    <border diagonalUp="false" diagonalDown="false">
      <left/>
      <right style="thin">
        <color rgb="FF181717"/>
      </right>
      <top/>
      <bottom/>
      <diagonal/>
    </border>
    <border diagonalUp="false" diagonalDown="false">
      <left style="thin">
        <color rgb="FF181717"/>
      </left>
      <right style="thin">
        <color rgb="FF181717"/>
      </right>
      <top/>
      <bottom/>
      <diagonal/>
    </border>
    <border diagonalUp="false" diagonalDown="false">
      <left style="thin">
        <color rgb="FF181717"/>
      </left>
      <right/>
      <top/>
      <bottom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/>
      <right/>
      <top style="medium">
        <color rgb="FF808080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thin">
        <color rgb="FFF2F2F2"/>
      </bottom>
      <diagonal/>
    </border>
    <border diagonalUp="false" diagonalDown="false">
      <left/>
      <right/>
      <top style="thin">
        <color rgb="FFF2F2F2"/>
      </top>
      <bottom style="medium">
        <color rgb="FF808080"/>
      </bottom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3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5" fillId="0" borderId="0" xfId="19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10" fillId="0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5" fillId="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2" fillId="0" borderId="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8" fontId="13" fillId="0" borderId="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1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0" borderId="3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9" fontId="13" fillId="0" borderId="3" xfId="0" applyFont="true" applyBorder="true" applyAlignment="true" applyProtection="false">
      <alignment horizontal="right" vertical="center" textRotation="0" wrapText="false" indent="2" shrinkToFit="false"/>
      <protection locked="true" hidden="false"/>
    </xf>
    <xf numFmtId="169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5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5" fillId="0" borderId="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8" fontId="13" fillId="2" borderId="4" xfId="0" applyFont="true" applyBorder="true" applyAlignment="true" applyProtection="false">
      <alignment horizontal="right" vertical="center" textRotation="0" wrapText="false" indent="2" shrinkToFit="false"/>
      <protection locked="true" hidden="false"/>
    </xf>
    <xf numFmtId="168" fontId="16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9" fontId="13" fillId="2" borderId="4" xfId="0" applyFont="true" applyBorder="true" applyAlignment="true" applyProtection="false">
      <alignment horizontal="right" vertical="center" textRotation="0" wrapText="false" indent="2" shrinkToFit="false"/>
      <protection locked="true" hidden="false"/>
    </xf>
    <xf numFmtId="164" fontId="15" fillId="0" borderId="1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14" fillId="0" borderId="1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15" fillId="0" borderId="5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9" fontId="13" fillId="2" borderId="5" xfId="0" applyFont="true" applyBorder="true" applyAlignment="true" applyProtection="false">
      <alignment horizontal="right" vertical="center" textRotation="0" wrapText="false" indent="2" shrinkToFit="false"/>
      <protection locked="true" hidden="false"/>
    </xf>
    <xf numFmtId="164" fontId="14" fillId="3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4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6" fontId="17" fillId="4" borderId="0" xfId="19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1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18" fillId="5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19" fillId="5" borderId="6" xfId="1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5" borderId="6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71" fontId="18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19" fillId="2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5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0" fillId="0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9" fillId="5" borderId="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0" borderId="7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5" borderId="8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5" borderId="8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2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4" fillId="5" borderId="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4" fontId="23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4" fillId="5" borderId="2" xfId="1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5" fillId="5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5" fontId="14" fillId="5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4" fillId="5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6" fontId="14" fillId="5" borderId="1" xfId="1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14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2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15" fillId="0" borderId="3" xfId="1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15" fillId="0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15" fillId="0" borderId="4" xfId="19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6" fontId="27" fillId="6" borderId="5" xfId="19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3" fontId="28" fillId="6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0" xfId="0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77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29" fillId="0" borderId="0" xfId="19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0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1" fillId="6" borderId="10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64" fontId="31" fillId="6" borderId="1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31" fillId="6" borderId="10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65" fontId="31" fillId="6" borderId="10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66" fontId="31" fillId="6" borderId="10" xfId="19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2" fontId="32" fillId="0" borderId="11" xfId="0" applyFont="true" applyBorder="true" applyAlignment="true" applyProtection="false">
      <alignment horizontal="left" vertical="center" textRotation="0" wrapText="false" indent="2" shrinkToFit="true"/>
      <protection locked="true" hidden="false"/>
    </xf>
    <xf numFmtId="164" fontId="33" fillId="0" borderId="11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72" fontId="33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8" fontId="34" fillId="0" borderId="11" xfId="0" applyFont="true" applyBorder="true" applyAlignment="true" applyProtection="false">
      <alignment horizontal="center" vertical="center" textRotation="0" wrapText="false" indent="0" shrinkToFit="true"/>
      <protection locked="true" hidden="false"/>
    </xf>
    <xf numFmtId="173" fontId="34" fillId="0" borderId="11" xfId="0" applyFont="true" applyBorder="true" applyAlignment="true" applyProtection="false">
      <alignment horizontal="left" vertical="center" textRotation="0" wrapText="false" indent="2" shrinkToFit="true"/>
      <protection locked="true" hidden="false"/>
    </xf>
    <xf numFmtId="173" fontId="33" fillId="0" borderId="11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66" fontId="33" fillId="0" borderId="11" xfId="19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4" fillId="0" borderId="11" xfId="0" applyFont="true" applyBorder="true" applyAlignment="true" applyProtection="false">
      <alignment horizontal="left" vertical="center" textRotation="0" wrapText="false" indent="2" shrinkToFit="true"/>
      <protection locked="true" hidden="false"/>
    </xf>
    <xf numFmtId="179" fontId="2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36" fillId="6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36" fillId="6" borderId="0" xfId="19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3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8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3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3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7" fillId="6" borderId="1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80" fontId="17" fillId="6" borderId="1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8" fontId="17" fillId="6" borderId="1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7" fontId="17" fillId="6" borderId="1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17" fillId="6" borderId="1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13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41" fillId="0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81" fontId="41" fillId="0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80" fontId="41" fillId="0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8" fontId="41" fillId="0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7" fontId="41" fillId="0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41" fillId="0" borderId="15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38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2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0" fillId="0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0" fillId="0" borderId="16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41" fillId="0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0" fillId="0" borderId="19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0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1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2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3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4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5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26" xfId="23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0" fillId="0" borderId="2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8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29" xfId="24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78" fontId="4" fillId="0" borderId="3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9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31" fillId="6" borderId="13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31" fillId="6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81" fontId="31" fillId="6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80" fontId="31" fillId="6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5" fontId="31" fillId="6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8" fontId="31" fillId="6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7" fontId="31" fillId="6" borderId="1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31" fillId="6" borderId="15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3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77" fontId="3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4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4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4" fillId="0" borderId="0" xfId="0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66" fontId="44" fillId="0" borderId="0" xfId="19" applyFont="true" applyBorder="false" applyAlignment="true" applyProtection="false">
      <alignment horizontal="left" vertical="bottom" textRotation="0" wrapText="false" indent="2" shrinkToFit="false"/>
      <protection locked="true" hidden="false"/>
    </xf>
    <xf numFmtId="177" fontId="4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45" fillId="7" borderId="31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6" fontId="46" fillId="0" borderId="0" xfId="19" applyFont="true" applyBorder="false" applyAlignment="true" applyProtection="false">
      <alignment horizontal="left" vertical="center" textRotation="0" wrapText="false" indent="2" shrinkToFit="false"/>
      <protection locked="true" hidden="false"/>
    </xf>
    <xf numFmtId="164" fontId="47" fillId="0" borderId="3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48" fillId="0" borderId="3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7" fontId="49" fillId="8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6" fontId="50" fillId="0" borderId="0" xfId="19" applyFont="true" applyBorder="false" applyAlignment="true" applyProtection="false">
      <alignment horizontal="left" vertical="center" textRotation="0" wrapText="false" indent="6" shrinkToFit="false"/>
      <protection locked="true" hidden="false"/>
    </xf>
    <xf numFmtId="164" fontId="15" fillId="0" borderId="32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7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2" fillId="0" borderId="0" xfId="0" applyFont="true" applyBorder="false" applyAlignment="true" applyProtection="false">
      <alignment horizontal="left" vertical="center" textRotation="0" wrapText="false" indent="4" shrinkToFit="false"/>
      <protection locked="true" hidden="false"/>
    </xf>
    <xf numFmtId="164" fontId="53" fillId="0" borderId="0" xfId="0" applyFont="true" applyBorder="false" applyAlignment="true" applyProtection="false">
      <alignment horizontal="left" vertical="center" textRotation="0" wrapText="false" indent="7" shrinkToFit="false"/>
      <protection locked="true" hidden="false"/>
    </xf>
    <xf numFmtId="164" fontId="49" fillId="0" borderId="0" xfId="0" applyFont="true" applyBorder="false" applyAlignment="true" applyProtection="false">
      <alignment horizontal="left" vertical="center" textRotation="0" wrapText="false" indent="7" shrinkToFit="false"/>
      <protection locked="true" hidden="false"/>
    </xf>
    <xf numFmtId="183" fontId="49" fillId="0" borderId="32" xfId="19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2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5" fillId="0" borderId="0" xfId="0" applyFont="true" applyBorder="false" applyAlignment="true" applyProtection="false">
      <alignment horizontal="left" vertical="center" textRotation="0" wrapText="false" indent="7" shrinkToFit="false"/>
      <protection locked="true" hidden="false"/>
    </xf>
    <xf numFmtId="169" fontId="5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7" fontId="54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5" fontId="49" fillId="0" borderId="3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7" fontId="5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5" fillId="0" borderId="0" xfId="0" applyFont="true" applyBorder="true" applyAlignment="true" applyProtection="false">
      <alignment horizontal="left" vertical="center" textRotation="0" wrapText="false" indent="7" shrinkToFit="false"/>
      <protection locked="true" hidden="false"/>
    </xf>
    <xf numFmtId="164" fontId="54" fillId="0" borderId="32" xfId="0" applyFont="true" applyBorder="true" applyAlignment="true" applyProtection="false">
      <alignment horizontal="left" vertical="bottom" textRotation="0" wrapText="false" indent="2" shrinkToFit="false"/>
      <protection locked="true" hidden="false"/>
    </xf>
    <xf numFmtId="164" fontId="47" fillId="0" borderId="33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15" fillId="0" borderId="33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5" fontId="49" fillId="0" borderId="3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9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7" fontId="56" fillId="9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6" fillId="9" borderId="6" xfId="19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69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6" fontId="58" fillId="0" borderId="4" xfId="19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84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4" shrinkToFit="false"/>
      <protection locked="true" hidden="false"/>
    </xf>
    <xf numFmtId="177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9" fontId="58" fillId="0" borderId="4" xfId="0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6" fontId="58" fillId="0" borderId="4" xfId="19" applyFont="true" applyBorder="true" applyAlignment="true" applyProtection="false">
      <alignment horizontal="left" vertical="center" textRotation="0" wrapText="false" indent="4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false" indent="6" shrinkToFit="false"/>
      <protection locked="true" hidden="false"/>
    </xf>
    <xf numFmtId="164" fontId="58" fillId="0" borderId="4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64" fontId="58" fillId="0" borderId="4" xfId="0" applyFont="true" applyBorder="true" applyAlignment="true" applyProtection="false">
      <alignment horizontal="left" vertical="bottom" textRotation="0" wrapText="false" indent="2" shrinkToFit="false"/>
      <protection locked="true" hidden="false"/>
    </xf>
    <xf numFmtId="166" fontId="58" fillId="0" borderId="4" xfId="19" applyFont="true" applyBorder="true" applyAlignment="true" applyProtection="false">
      <alignment horizontal="left" vertical="bottom" textRotation="0" wrapText="false" indent="2" shrinkToFit="false"/>
      <protection locked="true" hidden="false"/>
    </xf>
    <xf numFmtId="177" fontId="58" fillId="0" borderId="4" xfId="0" applyFont="true" applyBorder="true" applyAlignment="true" applyProtection="false">
      <alignment horizontal="left" vertical="bottom" textRotation="0" wrapText="false" indent="2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0" fillId="0" borderId="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6" fontId="60" fillId="0" borderId="4" xfId="19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7" fontId="60" fillId="0" borderId="4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9" fontId="61" fillId="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4" fontId="58" fillId="0" borderId="7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1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0" applyFont="true" applyBorder="true" applyAlignment="true" applyProtection="false">
      <alignment horizontal="left" vertical="center" textRotation="0" wrapText="true" indent="2" shrinkToFit="false"/>
      <protection locked="true" hidden="false"/>
    </xf>
    <xf numFmtId="169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58" fillId="0" borderId="7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9" fontId="58" fillId="0" borderId="7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4" fontId="58" fillId="0" borderId="7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6" fontId="58" fillId="0" borderId="7" xfId="19" applyFont="true" applyBorder="true" applyAlignment="true" applyProtection="false">
      <alignment horizontal="left" vertical="center" textRotation="0" wrapText="false" indent="2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orner" xfId="20"/>
    <cellStyle name="Pivot Table Value" xfId="21"/>
    <cellStyle name="Pivot Table Field" xfId="22"/>
    <cellStyle name="Pivot Table Category" xfId="23"/>
    <cellStyle name="Pivot Table Title" xfId="24"/>
    <cellStyle name="Pivot Table Result" xfId="25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name val="Calibri"/>
        <charset val="1"/>
        <family val="2"/>
        <color rgb="FF000000"/>
        <sz val="11"/>
      </font>
      <alignment horizontal="general" vertical="bottom" textRotation="0" wrapText="false" indent="0" shrinkToFit="false"/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30303"/>
      <rgbColor rgb="FF808000"/>
      <rgbColor rgb="FF800080"/>
      <rgbColor rgb="FF008080"/>
      <rgbColor rgb="FFBFBFBF"/>
      <rgbColor rgb="FF808080"/>
      <rgbColor rgb="FF9999FF"/>
      <rgbColor rgb="FF993366"/>
      <rgbColor rgb="FFF2F2F2"/>
      <rgbColor rgb="FFCCFFFF"/>
      <rgbColor rgb="FF660066"/>
      <rgbColor rgb="FFFF8080"/>
      <rgbColor rgb="FF065A98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8D8E8E"/>
      <rgbColor rgb="FF203864"/>
      <rgbColor rgb="FF339966"/>
      <rgbColor rgb="FF181717"/>
      <rgbColor rgb="FF0D0D0D"/>
      <rgbColor rgb="FFE32827"/>
      <rgbColor rgb="FF993366"/>
      <rgbColor rgb="FF394AA9"/>
      <rgbColor rgb="FF262628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sharedStrings" Target="sharedStrings.xml"/><Relationship Id="rId7" Type="http://schemas.openxmlformats.org/officeDocument/2006/relationships/pivotCacheDefinition" Target="pivotCache/pivotCacheDefinition1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3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1206360</xdr:colOff>
      <xdr:row>1</xdr:row>
      <xdr:rowOff>0</xdr:rowOff>
    </xdr:from>
    <xdr:to>
      <xdr:col>8</xdr:col>
      <xdr:colOff>1800</xdr:colOff>
      <xdr:row>5</xdr:row>
      <xdr:rowOff>96120</xdr:rowOff>
    </xdr:to>
    <xdr:pic>
      <xdr:nvPicPr>
        <xdr:cNvPr id="0" name="Picture 5" descr=""/>
        <xdr:cNvPicPr/>
      </xdr:nvPicPr>
      <xdr:blipFill>
        <a:blip r:embed="rId1"/>
        <a:stretch/>
      </xdr:blipFill>
      <xdr:spPr>
        <a:xfrm>
          <a:off x="9007200" y="164880"/>
          <a:ext cx="3823200" cy="13248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2</xdr:col>
      <xdr:colOff>1601640</xdr:colOff>
      <xdr:row>31</xdr:row>
      <xdr:rowOff>132480</xdr:rowOff>
    </xdr:from>
    <xdr:to>
      <xdr:col>7</xdr:col>
      <xdr:colOff>686520</xdr:colOff>
      <xdr:row>36</xdr:row>
      <xdr:rowOff>130680</xdr:rowOff>
    </xdr:to>
    <xdr:pic>
      <xdr:nvPicPr>
        <xdr:cNvPr id="1" name="Picture 1" descr="A black and white logo&#10;&#10;Description automatically generated"/>
        <xdr:cNvPicPr/>
      </xdr:nvPicPr>
      <xdr:blipFill>
        <a:blip r:embed="rId2"/>
        <a:stretch/>
      </xdr:blipFill>
      <xdr:spPr>
        <a:xfrm>
          <a:off x="2587680" y="11791440"/>
          <a:ext cx="7653600" cy="10512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257040</xdr:colOff>
      <xdr:row>1</xdr:row>
      <xdr:rowOff>174600</xdr:rowOff>
    </xdr:from>
    <xdr:to>
      <xdr:col>3</xdr:col>
      <xdr:colOff>2774520</xdr:colOff>
      <xdr:row>4</xdr:row>
      <xdr:rowOff>412200</xdr:rowOff>
    </xdr:to>
    <xdr:pic>
      <xdr:nvPicPr>
        <xdr:cNvPr id="2" name="Picture 1" descr=""/>
        <xdr:cNvPicPr/>
      </xdr:nvPicPr>
      <xdr:blipFill>
        <a:blip r:embed="rId1"/>
        <a:stretch/>
      </xdr:blipFill>
      <xdr:spPr>
        <a:xfrm>
          <a:off x="2706120" y="373320"/>
          <a:ext cx="4433040" cy="2090880"/>
        </a:xfrm>
        <a:prstGeom prst="rect">
          <a:avLst/>
        </a:prstGeom>
        <a:ln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43" createdVersion="3">
  <cacheSource type="worksheet">
    <worksheetSource ref="A2:K45" sheet="BoQ_Detailed "/>
  </cacheSource>
  <cacheFields count="11">
    <cacheField name="Ref " numFmtId="0">
      <sharedItems containsString="0" containsBlank="1" containsNumber="1" containsInteger="1" minValue="1" maxValue="39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m/>
      </sharedItems>
    </cacheField>
    <cacheField name="Item" numFmtId="0">
      <sharedItems containsBlank="1" count="26">
        <s v="202 C 18"/>
        <s v="232 Z 16"/>
        <s v="232 Z 18"/>
        <s v="232 Z 23"/>
        <s v="CHS114.3*5.0"/>
        <s v="CHS139.7*5.0"/>
        <s v="CHS168.3*5.0"/>
        <s v="Cold Rolled Supply &amp; Install"/>
        <s v="Fittings"/>
        <s v="PFC-200*75*23"/>
        <s v="PFC-200*90*30"/>
        <s v="SHS140*140*5.0"/>
        <s v="SHS160*160*5.0"/>
        <s v="SHS160*160*6.3"/>
        <s v="SHS200*200*8.0"/>
        <s v="SHS300*300*16.0"/>
        <s v="Steelwork Supply &amp; Install"/>
        <s v="UB203*133*25"/>
        <s v="UB305*165*46"/>
        <s v="UB356*127*33"/>
        <s v="UB356*171*45"/>
        <s v="UB457*152*52"/>
        <s v="UB457*152*67"/>
        <s v="UB533*210*82"/>
        <s v="UB686*254*125"/>
        <m/>
      </sharedItems>
    </cacheField>
    <cacheField name="Cat" numFmtId="0">
      <sharedItems containsBlank="1" count="3">
        <s v="Cold Rolled"/>
        <s v="Steel"/>
        <m/>
      </sharedItems>
    </cacheField>
    <cacheField name="Type" numFmtId="0">
      <sharedItems containsBlank="1" count="6">
        <s v="Beam"/>
        <s v="Bracing"/>
        <s v="Column"/>
        <s v="Door Frame"/>
        <s v="Purlin"/>
        <m/>
      </sharedItems>
    </cacheField>
    <cacheField name="Zone" numFmtId="0">
      <sharedItems containsBlank="1" count="3">
        <s v="Unit 2"/>
        <s v="Unit 3"/>
        <m/>
      </sharedItems>
    </cacheField>
    <cacheField name="ACW" numFmtId="0">
      <sharedItems containsString="0" containsBlank="1" containsNumber="1" minValue="44.525" maxValue="1372.18636363636" count="32">
        <n v="44.525"/>
        <n v="49.4118181818182"/>
        <n v="53.3175"/>
        <n v="101.130833333333"/>
        <n v="102.875357142857"/>
        <n v="108.66"/>
        <n v="109.071666666667"/>
        <n v="109.795"/>
        <n v="110.155"/>
        <n v="136.925714285714"/>
        <n v="138.365"/>
        <n v="138.4575"/>
        <n v="140.971666666667"/>
        <n v="144.977"/>
        <n v="156.344090909091"/>
        <n v="159.8775"/>
        <n v="179.215"/>
        <n v="194.68"/>
        <n v="197.634090909091"/>
        <n v="229.80875"/>
        <n v="230.924285714286"/>
        <n v="303.93"/>
        <n v="345.964"/>
        <n v="346.885"/>
        <n v="398.7225"/>
        <n v="440.978181818182"/>
        <n v="572.566"/>
        <n v="605.131666666667"/>
        <n v="906.44"/>
        <n v="1192.834"/>
        <n v="1372.18636363636"/>
        <m/>
      </sharedItems>
    </cacheField>
    <cacheField name="Pcs" numFmtId="0">
      <sharedItems containsString="0" containsBlank="1" containsNumber="1" containsInteger="1" minValue="1" maxValue="28" count="16">
        <n v="1"/>
        <n v="2"/>
        <n v="4"/>
        <n v="6"/>
        <n v="7"/>
        <n v="8"/>
        <n v="10"/>
        <n v="11"/>
        <n v="12"/>
        <n v="14"/>
        <n v="18"/>
        <n v="20"/>
        <n v="22"/>
        <n v="24"/>
        <n v="28"/>
        <m/>
      </sharedItems>
    </cacheField>
    <cacheField name="QTY" numFmtId="0">
      <sharedItems containsString="0" containsBlank="1" containsNumber="1" minValue="0.21327" maxValue="1160" count="39">
        <n v="0.21327"/>
        <n v="0.21732"/>
        <n v="0.21959"/>
        <n v="0.22031"/>
        <n v="0.27673"/>
        <n v="0.55383"/>
        <n v="0.60786"/>
        <n v="0.63951"/>
        <n v="0.65443"/>
        <n v="0.69377"/>
        <n v="0.71686"/>
        <n v="0.80145"/>
        <n v="0.84583"/>
        <n v="0.90644"/>
        <n v="0.95848"/>
        <n v="1.08706"/>
        <n v="1.21357"/>
        <n v="1.44977"/>
        <n v="1.55744"/>
        <n v="2.88051"/>
        <n v="3"/>
        <n v="3.18978"/>
        <n v="3.23294"/>
        <n v="3.43957"/>
        <n v="3.63079"/>
        <n v="4.34795"/>
        <n v="4.85076"/>
        <n v="5.51541"/>
        <n v="5.72566"/>
        <n v="6"/>
        <n v="6.91928"/>
        <n v="11.92834"/>
        <n v="15.09405"/>
        <n v="320"/>
        <n v="440"/>
        <n v="820"/>
        <n v="1080"/>
        <n v="1160"/>
        <m/>
      </sharedItems>
    </cacheField>
    <cacheField name="Unit" numFmtId="0">
      <sharedItems containsBlank="1" count="3">
        <s v="m"/>
        <s v="tonne"/>
        <m/>
      </sharedItems>
    </cacheField>
    <cacheField name="Rate " numFmtId="0">
      <sharedItems containsBlank="1" containsMixedTypes="1" containsNumber="1" minValue="15.25" maxValue="4900" count="33">
        <n v="15.25"/>
        <n v="15.5"/>
        <n v="16.75"/>
        <n v="20.5"/>
        <n v="1250"/>
        <n v="1575"/>
        <n v="1600"/>
        <n v="1625"/>
        <n v="1650"/>
        <n v="1700"/>
        <n v="1800"/>
        <n v="1875"/>
        <n v="2025"/>
        <n v="2150"/>
        <n v="2225"/>
        <n v="2325"/>
        <n v="2450"/>
        <n v="2575"/>
        <n v="2675"/>
        <n v="2775"/>
        <n v="2800"/>
        <n v="2950"/>
        <n v="2975"/>
        <n v="3075"/>
        <n v="3350"/>
        <n v="3375"/>
        <n v="3400"/>
        <n v="3450"/>
        <n v="3475"/>
        <n v="4600"/>
        <n v="4900"/>
        <s v="Total:"/>
        <m/>
      </sharedItems>
    </cacheField>
    <cacheField name="Total " numFmtId="0">
      <sharedItems containsString="0" containsBlank="1" containsNumber="1" minValue="714.4545" maxValue="255083.791" count="40">
        <n v="714.4545"/>
        <n v="738.888"/>
        <n v="741.11625"/>
        <n v="743.54625"/>
        <n v="954.7185"/>
        <n v="1489.257"/>
        <n v="1613.01525"/>
        <n v="1703.02725"/>
        <n v="1886.5545"/>
        <n v="1948.846"/>
        <n v="2007.208"/>
        <n v="2225.062"/>
        <n v="2516.34425"/>
        <n v="2563.934"/>
        <n v="3686.67"/>
        <n v="3733.15775"/>
        <n v="4217.15575"/>
        <n v="4321.896"/>
        <n v="4950"/>
        <n v="5326.594"/>
        <n v="5422.626"/>
        <n v="5809.264"/>
        <n v="6061.7625"/>
        <n v="6560"/>
        <n v="6820"/>
        <n v="7653.04325"/>
        <n v="7882.485"/>
        <n v="8804.59875"/>
        <n v="9161.056"/>
        <n v="9900"/>
        <n v="9937.7595"/>
        <n v="10341.39375"/>
        <n v="12454.704"/>
        <n v="12505"/>
        <n v="17980"/>
        <n v="18090"/>
        <n v="18787.1355"/>
        <n v="18867.5625"/>
        <n v="255083.791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">
  <r>
    <x v="39"/>
    <x v="25"/>
    <x v="2"/>
    <x v="5"/>
    <x v="2"/>
    <x v="31"/>
    <x v="15"/>
    <x v="38"/>
    <x v="2"/>
    <x v="32"/>
    <x v="39"/>
  </r>
  <r>
    <x v="39"/>
    <x v="16"/>
    <x v="2"/>
    <x v="5"/>
    <x v="2"/>
    <x v="31"/>
    <x v="15"/>
    <x v="38"/>
    <x v="2"/>
    <x v="32"/>
    <x v="39"/>
  </r>
  <r>
    <x v="0"/>
    <x v="5"/>
    <x v="1"/>
    <x v="0"/>
    <x v="0"/>
    <x v="5"/>
    <x v="1"/>
    <x v="1"/>
    <x v="1"/>
    <x v="26"/>
    <x v="1"/>
  </r>
  <r>
    <x v="1"/>
    <x v="25"/>
    <x v="2"/>
    <x v="5"/>
    <x v="2"/>
    <x v="31"/>
    <x v="15"/>
    <x v="38"/>
    <x v="2"/>
    <x v="32"/>
    <x v="39"/>
  </r>
  <r>
    <x v="2"/>
    <x v="11"/>
    <x v="1"/>
    <x v="0"/>
    <x v="0"/>
    <x v="12"/>
    <x v="3"/>
    <x v="12"/>
    <x v="1"/>
    <x v="22"/>
    <x v="12"/>
  </r>
  <r>
    <x v="3"/>
    <x v="13"/>
    <x v="1"/>
    <x v="0"/>
    <x v="0"/>
    <x v="10"/>
    <x v="1"/>
    <x v="4"/>
    <x v="1"/>
    <x v="27"/>
    <x v="4"/>
  </r>
  <r>
    <x v="4"/>
    <x v="14"/>
    <x v="1"/>
    <x v="0"/>
    <x v="0"/>
    <x v="21"/>
    <x v="1"/>
    <x v="6"/>
    <x v="1"/>
    <x v="16"/>
    <x v="5"/>
  </r>
  <r>
    <x v="5"/>
    <x v="17"/>
    <x v="1"/>
    <x v="0"/>
    <x v="0"/>
    <x v="9"/>
    <x v="4"/>
    <x v="14"/>
    <x v="1"/>
    <x v="18"/>
    <x v="13"/>
  </r>
  <r>
    <x v="6"/>
    <x v="21"/>
    <x v="1"/>
    <x v="0"/>
    <x v="0"/>
    <x v="26"/>
    <x v="6"/>
    <x v="28"/>
    <x v="1"/>
    <x v="6"/>
    <x v="28"/>
  </r>
  <r>
    <x v="7"/>
    <x v="4"/>
    <x v="1"/>
    <x v="1"/>
    <x v="0"/>
    <x v="3"/>
    <x v="8"/>
    <x v="16"/>
    <x v="1"/>
    <x v="28"/>
    <x v="16"/>
  </r>
  <r>
    <x v="8"/>
    <x v="5"/>
    <x v="1"/>
    <x v="1"/>
    <x v="0"/>
    <x v="8"/>
    <x v="1"/>
    <x v="3"/>
    <x v="1"/>
    <x v="25"/>
    <x v="3"/>
  </r>
  <r>
    <x v="9"/>
    <x v="6"/>
    <x v="1"/>
    <x v="1"/>
    <x v="0"/>
    <x v="15"/>
    <x v="2"/>
    <x v="7"/>
    <x v="1"/>
    <x v="21"/>
    <x v="8"/>
  </r>
  <r>
    <x v="10"/>
    <x v="10"/>
    <x v="1"/>
    <x v="2"/>
    <x v="0"/>
    <x v="20"/>
    <x v="9"/>
    <x v="22"/>
    <x v="1"/>
    <x v="11"/>
    <x v="22"/>
  </r>
  <r>
    <x v="11"/>
    <x v="17"/>
    <x v="1"/>
    <x v="2"/>
    <x v="0"/>
    <x v="0"/>
    <x v="10"/>
    <x v="11"/>
    <x v="1"/>
    <x v="29"/>
    <x v="14"/>
  </r>
  <r>
    <x v="12"/>
    <x v="20"/>
    <x v="1"/>
    <x v="2"/>
    <x v="0"/>
    <x v="24"/>
    <x v="5"/>
    <x v="21"/>
    <x v="1"/>
    <x v="9"/>
    <x v="20"/>
  </r>
  <r>
    <x v="13"/>
    <x v="22"/>
    <x v="1"/>
    <x v="2"/>
    <x v="0"/>
    <x v="27"/>
    <x v="3"/>
    <x v="24"/>
    <x v="1"/>
    <x v="6"/>
    <x v="21"/>
  </r>
  <r>
    <x v="14"/>
    <x v="19"/>
    <x v="1"/>
    <x v="4"/>
    <x v="0"/>
    <x v="11"/>
    <x v="2"/>
    <x v="5"/>
    <x v="1"/>
    <x v="23"/>
    <x v="7"/>
  </r>
  <r>
    <x v="15"/>
    <x v="5"/>
    <x v="1"/>
    <x v="0"/>
    <x v="1"/>
    <x v="6"/>
    <x v="3"/>
    <x v="8"/>
    <x v="1"/>
    <x v="26"/>
    <x v="11"/>
  </r>
  <r>
    <x v="16"/>
    <x v="9"/>
    <x v="1"/>
    <x v="0"/>
    <x v="1"/>
    <x v="14"/>
    <x v="12"/>
    <x v="23"/>
    <x v="1"/>
    <x v="14"/>
    <x v="25"/>
  </r>
  <r>
    <x v="17"/>
    <x v="10"/>
    <x v="1"/>
    <x v="0"/>
    <x v="1"/>
    <x v="18"/>
    <x v="12"/>
    <x v="25"/>
    <x v="1"/>
    <x v="12"/>
    <x v="27"/>
  </r>
  <r>
    <x v="18"/>
    <x v="12"/>
    <x v="1"/>
    <x v="0"/>
    <x v="1"/>
    <x v="17"/>
    <x v="5"/>
    <x v="18"/>
    <x v="1"/>
    <x v="19"/>
    <x v="17"/>
  </r>
  <r>
    <x v="19"/>
    <x v="14"/>
    <x v="1"/>
    <x v="0"/>
    <x v="1"/>
    <x v="23"/>
    <x v="1"/>
    <x v="9"/>
    <x v="1"/>
    <x v="15"/>
    <x v="6"/>
  </r>
  <r>
    <x v="20"/>
    <x v="17"/>
    <x v="1"/>
    <x v="0"/>
    <x v="1"/>
    <x v="13"/>
    <x v="6"/>
    <x v="17"/>
    <x v="1"/>
    <x v="17"/>
    <x v="15"/>
  </r>
  <r>
    <x v="21"/>
    <x v="18"/>
    <x v="1"/>
    <x v="0"/>
    <x v="1"/>
    <x v="22"/>
    <x v="11"/>
    <x v="30"/>
    <x v="1"/>
    <x v="10"/>
    <x v="32"/>
  </r>
  <r>
    <x v="22"/>
    <x v="23"/>
    <x v="1"/>
    <x v="0"/>
    <x v="1"/>
    <x v="30"/>
    <x v="7"/>
    <x v="32"/>
    <x v="1"/>
    <x v="4"/>
    <x v="37"/>
  </r>
  <r>
    <x v="23"/>
    <x v="4"/>
    <x v="1"/>
    <x v="1"/>
    <x v="1"/>
    <x v="4"/>
    <x v="14"/>
    <x v="19"/>
    <x v="1"/>
    <x v="27"/>
    <x v="30"/>
  </r>
  <r>
    <x v="24"/>
    <x v="5"/>
    <x v="1"/>
    <x v="1"/>
    <x v="1"/>
    <x v="7"/>
    <x v="1"/>
    <x v="2"/>
    <x v="1"/>
    <x v="25"/>
    <x v="2"/>
  </r>
  <r>
    <x v="25"/>
    <x v="6"/>
    <x v="1"/>
    <x v="1"/>
    <x v="1"/>
    <x v="16"/>
    <x v="2"/>
    <x v="10"/>
    <x v="1"/>
    <x v="20"/>
    <x v="10"/>
  </r>
  <r>
    <x v="26"/>
    <x v="15"/>
    <x v="1"/>
    <x v="2"/>
    <x v="1"/>
    <x v="28"/>
    <x v="0"/>
    <x v="13"/>
    <x v="1"/>
    <x v="13"/>
    <x v="9"/>
  </r>
  <r>
    <x v="27"/>
    <x v="17"/>
    <x v="1"/>
    <x v="2"/>
    <x v="1"/>
    <x v="1"/>
    <x v="12"/>
    <x v="15"/>
    <x v="1"/>
    <x v="30"/>
    <x v="19"/>
  </r>
  <r>
    <x v="28"/>
    <x v="20"/>
    <x v="1"/>
    <x v="2"/>
    <x v="1"/>
    <x v="25"/>
    <x v="7"/>
    <x v="26"/>
    <x v="1"/>
    <x v="7"/>
    <x v="26"/>
  </r>
  <r>
    <x v="29"/>
    <x v="24"/>
    <x v="1"/>
    <x v="2"/>
    <x v="1"/>
    <x v="29"/>
    <x v="6"/>
    <x v="31"/>
    <x v="1"/>
    <x v="5"/>
    <x v="36"/>
  </r>
  <r>
    <x v="30"/>
    <x v="9"/>
    <x v="1"/>
    <x v="3"/>
    <x v="1"/>
    <x v="2"/>
    <x v="2"/>
    <x v="0"/>
    <x v="1"/>
    <x v="24"/>
    <x v="0"/>
  </r>
  <r>
    <x v="31"/>
    <x v="10"/>
    <x v="1"/>
    <x v="3"/>
    <x v="1"/>
    <x v="19"/>
    <x v="13"/>
    <x v="27"/>
    <x v="1"/>
    <x v="11"/>
    <x v="31"/>
  </r>
  <r>
    <x v="32"/>
    <x v="8"/>
    <x v="1"/>
    <x v="5"/>
    <x v="0"/>
    <x v="31"/>
    <x v="15"/>
    <x v="20"/>
    <x v="1"/>
    <x v="8"/>
    <x v="18"/>
  </r>
  <r>
    <x v="33"/>
    <x v="8"/>
    <x v="1"/>
    <x v="5"/>
    <x v="1"/>
    <x v="31"/>
    <x v="15"/>
    <x v="29"/>
    <x v="1"/>
    <x v="8"/>
    <x v="29"/>
  </r>
  <r>
    <x v="39"/>
    <x v="7"/>
    <x v="2"/>
    <x v="5"/>
    <x v="2"/>
    <x v="31"/>
    <x v="15"/>
    <x v="38"/>
    <x v="2"/>
    <x v="32"/>
    <x v="39"/>
  </r>
  <r>
    <x v="34"/>
    <x v="0"/>
    <x v="0"/>
    <x v="4"/>
    <x v="0"/>
    <x v="31"/>
    <x v="15"/>
    <x v="35"/>
    <x v="0"/>
    <x v="0"/>
    <x v="33"/>
  </r>
  <r>
    <x v="35"/>
    <x v="1"/>
    <x v="0"/>
    <x v="4"/>
    <x v="0"/>
    <x v="31"/>
    <x v="15"/>
    <x v="34"/>
    <x v="0"/>
    <x v="1"/>
    <x v="24"/>
  </r>
  <r>
    <x v="36"/>
    <x v="3"/>
    <x v="0"/>
    <x v="4"/>
    <x v="1"/>
    <x v="31"/>
    <x v="15"/>
    <x v="33"/>
    <x v="0"/>
    <x v="3"/>
    <x v="23"/>
  </r>
  <r>
    <x v="37"/>
    <x v="2"/>
    <x v="0"/>
    <x v="4"/>
    <x v="1"/>
    <x v="31"/>
    <x v="15"/>
    <x v="36"/>
    <x v="0"/>
    <x v="2"/>
    <x v="35"/>
  </r>
  <r>
    <x v="38"/>
    <x v="1"/>
    <x v="0"/>
    <x v="4"/>
    <x v="1"/>
    <x v="31"/>
    <x v="15"/>
    <x v="37"/>
    <x v="0"/>
    <x v="1"/>
    <x v="34"/>
  </r>
  <r>
    <x v="39"/>
    <x v="25"/>
    <x v="2"/>
    <x v="5"/>
    <x v="2"/>
    <x v="31"/>
    <x v="15"/>
    <x v="38"/>
    <x v="2"/>
    <x v="31"/>
    <x v="38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useAutoFormatting="0" itemPrintTitles="1" indent="0" outline="1" outlineData="1" compact="0" compactData="0">
  <location ref="M4:O11" firstHeaderRow="1" firstDataRow="1" firstDataCol="2"/>
  <pivotFields count="11">
    <pivotField compact="0" showAll="0"/>
    <pivotField compact="0" showAll="0"/>
    <pivotField axis="axisRow" compact="0" showAll="0">
      <items count="4">
        <item x="0"/>
        <item x="1"/>
        <item h="1" x="2"/>
        <item t="default"/>
      </items>
    </pivotField>
    <pivotField compact="0" showAll="0"/>
    <pivotField axis="axisRow" compact="0" showAll="0">
      <items count="4">
        <item x="2"/>
        <item x="0"/>
        <item x="1"/>
        <item t="default"/>
      </items>
    </pivotField>
    <pivotField compact="0" showAll="0"/>
    <pivotField compact="0" showAll="0"/>
    <pivotField dataField="1" compact="0" showAll="0"/>
    <pivotField compact="0" showAll="0"/>
    <pivotField compact="0" showAll="0"/>
    <pivotField compact="0" showAll="0"/>
  </pivotFields>
  <rowFields count="2">
    <field x="4"/>
    <field x="2"/>
  </rowFields>
  <dataFields count="1">
    <dataField name="Sum of QTY" fld="7" subtotal="sum" numFmtId="178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14" displayName="Table14" ref="B13:N89" headerRowCount="1" totalsRowCount="0" totalsRowShown="0">
  <autoFilter ref="B13:N89"/>
  <tableColumns count="13">
    <tableColumn id="1" name="Client Ref"/>
    <tableColumn id="2" name=" VO"/>
    <tableColumn id="3" name="Description"/>
    <tableColumn id="4" name="Submission "/>
    <tableColumn id="5" name="Value £"/>
    <tableColumn id="6" name="Dayworks  "/>
    <tableColumn id="7" name="Daywork Total"/>
    <tableColumn id="8" name="Status"/>
    <tableColumn id="9" name="Date Agreed"/>
    <tableColumn id="10" name="Notes"/>
    <tableColumn id="11" name="Progress %"/>
    <tableColumn id="12" name="Progress £"/>
    <tableColumn id="13" name="Progress Notes"/>
  </tableColumns>
</table>
</file>

<file path=xl/tables/table2.xml><?xml version="1.0" encoding="utf-8"?>
<table xmlns="http://schemas.openxmlformats.org/spreadsheetml/2006/main" id="2" name="Table18" displayName="Table18" ref="A2:K45" headerRowCount="1" totalsRowCount="0" totalsRowShown="0">
  <autoFilter ref="A2:K45"/>
  <tableColumns count="11">
    <tableColumn id="1" name="Ref "/>
    <tableColumn id="2" name="Item"/>
    <tableColumn id="3" name="Cat"/>
    <tableColumn id="4" name="Type"/>
    <tableColumn id="5" name="Zone"/>
    <tableColumn id="6" name="ACW"/>
    <tableColumn id="7" name="Pcs"/>
    <tableColumn id="8" name="QTY"/>
    <tableColumn id="9" name="Unit"/>
    <tableColumn id="10" name="Rate "/>
    <tableColumn id="11" name="Total "/>
  </tableColumns>
</tabl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table" Target="../tables/table2.xml"/><Relationship Id="rId2" Type="http://schemas.openxmlformats.org/officeDocument/2006/relationships/pivotTable" Target="../pivotTables/pivotTable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2:R35"/>
  <sheetViews>
    <sheetView showFormulas="false" showGridLines="false" showRowColHeaders="true" showZeros="true" rightToLeft="false" tabSelected="false" showOutlineSymbols="true" defaultGridColor="true" view="pageBreakPreview" topLeftCell="A17" colorId="64" zoomScale="86" zoomScaleNormal="86" zoomScalePageLayoutView="86" workbookViewId="0">
      <selection pane="topLeft" activeCell="H8" activeCellId="0" sqref="H8"/>
    </sheetView>
  </sheetViews>
  <sheetFormatPr defaultColWidth="8.82421875" defaultRowHeight="13" zeroHeight="false" outlineLevelRow="0" outlineLevelCol="0"/>
  <cols>
    <col collapsed="false" customWidth="true" hidden="false" outlineLevel="0" max="1" min="1" style="1" width="2.27"/>
    <col collapsed="false" customWidth="false" hidden="false" outlineLevel="0" max="2" min="2" style="1" width="8.82"/>
    <col collapsed="false" customWidth="true" hidden="false" outlineLevel="0" max="3" min="3" style="2" width="24.27"/>
    <col collapsed="false" customWidth="true" hidden="false" outlineLevel="0" max="4" min="4" style="2" width="17.28"/>
    <col collapsed="false" customWidth="true" hidden="false" outlineLevel="0" max="5" min="5" style="3" width="19.28"/>
    <col collapsed="false" customWidth="true" hidden="false" outlineLevel="0" max="6" min="6" style="4" width="15.82"/>
    <col collapsed="false" customWidth="true" hidden="false" outlineLevel="0" max="7" min="7" style="5" width="19.72"/>
    <col collapsed="false" customWidth="true" hidden="false" outlineLevel="0" max="8" min="8" style="1" width="36.82"/>
    <col collapsed="false" customWidth="true" hidden="false" outlineLevel="0" max="9" min="9" style="1" width="1.27"/>
    <col collapsed="false" customWidth="true" hidden="false" outlineLevel="0" max="10" min="10" style="1" width="1.46"/>
    <col collapsed="false" customWidth="true" hidden="false" outlineLevel="0" max="11" min="11" style="1" width="0.82"/>
    <col collapsed="false" customWidth="false" hidden="false" outlineLevel="0" max="1024" min="12" style="1" width="8.82"/>
  </cols>
  <sheetData>
    <row r="2" s="6" customFormat="true" ht="34.5" hidden="false" customHeight="true" outlineLevel="0" collapsed="false">
      <c r="B2" s="7" t="s">
        <v>0</v>
      </c>
      <c r="C2" s="7"/>
      <c r="D2" s="7"/>
      <c r="E2" s="7"/>
      <c r="F2" s="7"/>
      <c r="G2" s="7"/>
      <c r="H2" s="7"/>
    </row>
    <row r="3" s="8" customFormat="true" ht="24.75" hidden="false" customHeight="true" outlineLevel="0" collapsed="false">
      <c r="B3" s="9" t="s">
        <v>1</v>
      </c>
      <c r="E3" s="10"/>
    </row>
    <row r="4" s="2" customFormat="true" ht="18.75" hidden="false" customHeight="true" outlineLevel="0" collapsed="false">
      <c r="B4" s="11" t="s">
        <v>2</v>
      </c>
      <c r="E4" s="3"/>
    </row>
    <row r="5" s="2" customFormat="true" ht="18.75" hidden="false" customHeight="true" outlineLevel="0" collapsed="false">
      <c r="B5" s="12" t="s">
        <v>3</v>
      </c>
      <c r="C5" s="12"/>
      <c r="E5" s="3"/>
    </row>
    <row r="6" s="2" customFormat="true" ht="18.75" hidden="false" customHeight="true" outlineLevel="0" collapsed="false">
      <c r="B6" s="13" t="s">
        <v>4</v>
      </c>
      <c r="C6" s="14"/>
      <c r="D6" s="14"/>
      <c r="E6" s="15"/>
      <c r="F6" s="14"/>
      <c r="G6" s="14"/>
      <c r="H6" s="14"/>
    </row>
    <row r="7" s="8" customFormat="true" ht="13.5" hidden="false" customHeight="true" outlineLevel="0" collapsed="false">
      <c r="B7" s="16"/>
      <c r="E7" s="10"/>
    </row>
    <row r="8" customFormat="false" ht="25.15" hidden="false" customHeight="true" outlineLevel="0" collapsed="false">
      <c r="B8" s="17" t="s">
        <v>5</v>
      </c>
      <c r="C8" s="17"/>
      <c r="D8" s="18"/>
      <c r="E8" s="19"/>
      <c r="F8" s="20" t="s">
        <v>6</v>
      </c>
      <c r="G8" s="20"/>
      <c r="H8" s="21" t="s">
        <v>7</v>
      </c>
      <c r="I8" s="22"/>
    </row>
    <row r="9" s="23" customFormat="true" ht="25.15" hidden="false" customHeight="true" outlineLevel="0" collapsed="false">
      <c r="B9" s="24" t="s">
        <v>8</v>
      </c>
      <c r="C9" s="24"/>
      <c r="D9" s="24"/>
      <c r="E9" s="25"/>
      <c r="F9" s="26" t="s">
        <v>9</v>
      </c>
      <c r="G9" s="26"/>
      <c r="H9" s="27" t="n">
        <v>1</v>
      </c>
      <c r="I9" s="28"/>
    </row>
    <row r="10" s="23" customFormat="true" ht="25.15" hidden="false" customHeight="true" outlineLevel="0" collapsed="false">
      <c r="B10" s="24" t="s">
        <v>10</v>
      </c>
      <c r="C10" s="29"/>
      <c r="D10" s="29"/>
      <c r="E10" s="25"/>
      <c r="F10" s="26" t="s">
        <v>11</v>
      </c>
      <c r="G10" s="26"/>
      <c r="H10" s="30" t="n">
        <v>45565</v>
      </c>
      <c r="I10" s="22"/>
    </row>
    <row r="11" s="23" customFormat="true" ht="25.15" hidden="false" customHeight="true" outlineLevel="0" collapsed="false">
      <c r="B11" s="24" t="s">
        <v>12</v>
      </c>
      <c r="C11" s="29"/>
      <c r="D11" s="29"/>
      <c r="E11" s="25"/>
      <c r="F11" s="26" t="s">
        <v>13</v>
      </c>
      <c r="G11" s="26"/>
      <c r="H11" s="30"/>
      <c r="I11" s="22"/>
    </row>
    <row r="12" s="23" customFormat="true" ht="25.15" hidden="false" customHeight="true" outlineLevel="0" collapsed="false">
      <c r="B12" s="31"/>
      <c r="C12" s="32"/>
      <c r="D12" s="32"/>
      <c r="E12" s="25"/>
      <c r="F12" s="33" t="s">
        <v>14</v>
      </c>
      <c r="G12" s="33"/>
      <c r="H12" s="34" t="n">
        <f aca="false">H10+30</f>
        <v>45595</v>
      </c>
      <c r="I12" s="22"/>
      <c r="M12" s="35"/>
    </row>
    <row r="13" s="23" customFormat="true" ht="19.9" hidden="false" customHeight="true" outlineLevel="0" collapsed="false">
      <c r="B13" s="36"/>
      <c r="D13" s="37"/>
      <c r="E13" s="25"/>
      <c r="F13" s="36"/>
      <c r="G13" s="36"/>
      <c r="H13" s="22"/>
      <c r="I13" s="22"/>
      <c r="M13" s="35"/>
    </row>
    <row r="14" s="23" customFormat="true" ht="40.15" hidden="false" customHeight="true" outlineLevel="0" collapsed="false">
      <c r="B14" s="38" t="s">
        <v>15</v>
      </c>
      <c r="C14" s="39" t="s">
        <v>16</v>
      </c>
      <c r="D14" s="39" t="s">
        <v>17</v>
      </c>
      <c r="E14" s="40" t="s">
        <v>18</v>
      </c>
      <c r="F14" s="41" t="s">
        <v>19</v>
      </c>
      <c r="G14" s="42" t="s">
        <v>20</v>
      </c>
      <c r="H14" s="43" t="s">
        <v>21</v>
      </c>
      <c r="I14" s="43"/>
    </row>
    <row r="15" s="23" customFormat="true" ht="39.75" hidden="false" customHeight="true" outlineLevel="0" collapsed="false">
      <c r="B15" s="44" t="n">
        <f aca="false">IF(C15="","",1)</f>
        <v>1</v>
      </c>
      <c r="C15" s="45" t="str">
        <f aca="false">BoQ_Summary!B5</f>
        <v>Steel</v>
      </c>
      <c r="D15" s="46"/>
      <c r="E15" s="47" t="n">
        <f aca="false">SUMIF(BoQ_Summary!B:B,'AFP Summary'!C15,BoQ_Summary!G:G)</f>
        <v>179164.836</v>
      </c>
      <c r="F15" s="48" t="n">
        <f aca="false">G15/E15</f>
        <v>0.289704191731016</v>
      </c>
      <c r="G15" s="47" t="n">
        <f aca="false">SUMIF(BoQ_Summary!B:B,'AFP Summary'!C15,BoQ_Summary!I:I)</f>
        <v>51904.804</v>
      </c>
      <c r="H15" s="49"/>
      <c r="I15" s="49"/>
    </row>
    <row r="16" s="23" customFormat="true" ht="39.75" hidden="false" customHeight="true" outlineLevel="0" collapsed="false">
      <c r="B16" s="50" t="n">
        <f aca="false">IF(C16="","",B15+1)</f>
        <v>2</v>
      </c>
      <c r="C16" s="51" t="str">
        <f aca="false">BoQ_Summary!B6</f>
        <v>Cold Rolled</v>
      </c>
      <c r="D16" s="52"/>
      <c r="E16" s="47" t="n">
        <f aca="false">SUMIF(BoQ_Summary!B:B,'AFP Summary'!C16,BoQ_Summary!G:G)</f>
        <v>61955</v>
      </c>
      <c r="F16" s="48" t="n">
        <f aca="false">G16/E16</f>
        <v>0.31191994189331</v>
      </c>
      <c r="G16" s="47" t="n">
        <f aca="false">SUMIF(BoQ_Summary!B:B,'AFP Summary'!C16,BoQ_Summary!I:I)</f>
        <v>19325</v>
      </c>
      <c r="H16" s="49"/>
      <c r="I16" s="49"/>
    </row>
    <row r="17" s="23" customFormat="true" ht="39.75" hidden="false" customHeight="true" outlineLevel="0" collapsed="false">
      <c r="B17" s="50" t="n">
        <f aca="false">IF(C17="","",B16+1)</f>
        <v>3</v>
      </c>
      <c r="C17" s="53" t="s">
        <v>22</v>
      </c>
      <c r="D17" s="54"/>
      <c r="E17" s="47" t="n">
        <f aca="false">'Variation Register'!K4</f>
        <v>5000</v>
      </c>
      <c r="F17" s="48" t="n">
        <v>0</v>
      </c>
      <c r="G17" s="47" t="n">
        <f aca="false">F17*E17</f>
        <v>0</v>
      </c>
      <c r="H17" s="49"/>
      <c r="I17" s="49"/>
    </row>
    <row r="18" s="23" customFormat="true" ht="39.75" hidden="false" customHeight="true" outlineLevel="0" collapsed="false">
      <c r="B18" s="50" t="str">
        <f aca="false">IF(C18="","",B17+1)</f>
        <v/>
      </c>
      <c r="C18" s="55"/>
      <c r="D18" s="52"/>
      <c r="E18" s="47"/>
      <c r="F18" s="48"/>
      <c r="G18" s="47"/>
      <c r="H18" s="49"/>
      <c r="I18" s="49"/>
    </row>
    <row r="19" s="23" customFormat="true" ht="39.75" hidden="false" customHeight="true" outlineLevel="0" collapsed="false">
      <c r="B19" s="50" t="str">
        <f aca="false">IF(C19="","",B18+1)</f>
        <v/>
      </c>
      <c r="C19" s="56"/>
      <c r="D19" s="57"/>
      <c r="E19" s="47"/>
      <c r="F19" s="48"/>
      <c r="G19" s="47"/>
      <c r="H19" s="49"/>
      <c r="I19" s="58"/>
    </row>
    <row r="20" s="23" customFormat="true" ht="39.75" hidden="false" customHeight="true" outlineLevel="0" collapsed="false">
      <c r="B20" s="50" t="str">
        <f aca="false">IF(C20="","",B19+1)</f>
        <v/>
      </c>
      <c r="C20" s="56"/>
      <c r="D20" s="57"/>
      <c r="E20" s="59"/>
      <c r="F20" s="48"/>
      <c r="G20" s="59"/>
      <c r="H20" s="49"/>
      <c r="I20" s="58"/>
    </row>
    <row r="21" s="23" customFormat="true" ht="39.75" hidden="false" customHeight="true" outlineLevel="0" collapsed="false">
      <c r="B21" s="50" t="str">
        <f aca="false">IF(C21="","",B20+1)</f>
        <v/>
      </c>
      <c r="C21" s="56"/>
      <c r="D21" s="57"/>
      <c r="E21" s="60"/>
      <c r="F21" s="48"/>
      <c r="G21" s="60"/>
      <c r="H21" s="58"/>
      <c r="I21" s="58"/>
    </row>
    <row r="22" s="23" customFormat="true" ht="39.75" hidden="false" customHeight="true" outlineLevel="0" collapsed="false">
      <c r="B22" s="50" t="str">
        <f aca="false">IF(C22="","",B21+1)</f>
        <v/>
      </c>
      <c r="C22" s="56"/>
      <c r="D22" s="57"/>
      <c r="E22" s="60"/>
      <c r="F22" s="48"/>
      <c r="G22" s="60"/>
      <c r="H22" s="58"/>
      <c r="I22" s="58"/>
    </row>
    <row r="23" s="23" customFormat="true" ht="39.75" hidden="false" customHeight="true" outlineLevel="0" collapsed="false">
      <c r="B23" s="50" t="str">
        <f aca="false">IF(C23="","",B22+1)</f>
        <v/>
      </c>
      <c r="C23" s="61"/>
      <c r="D23" s="61"/>
      <c r="E23" s="62"/>
      <c r="F23" s="48"/>
      <c r="G23" s="62"/>
      <c r="H23" s="63"/>
      <c r="I23" s="63"/>
    </row>
    <row r="24" s="64" customFormat="true" ht="40.5" hidden="false" customHeight="true" outlineLevel="0" collapsed="false">
      <c r="B24" s="65"/>
      <c r="C24" s="66"/>
      <c r="D24" s="67" t="s">
        <v>18</v>
      </c>
      <c r="E24" s="68" t="n">
        <f aca="false">SUM(E12:E23)</f>
        <v>246119.836</v>
      </c>
      <c r="F24" s="69" t="s">
        <v>23</v>
      </c>
      <c r="G24" s="68" t="n">
        <f aca="false">SUM(G12:G23)</f>
        <v>71229.804</v>
      </c>
      <c r="H24" s="70"/>
      <c r="I24" s="70"/>
    </row>
    <row r="25" s="23" customFormat="true" ht="15" hidden="false" customHeight="true" outlineLevel="0" collapsed="false">
      <c r="B25" s="71"/>
      <c r="C25" s="71"/>
      <c r="D25" s="72"/>
      <c r="E25" s="73"/>
      <c r="F25" s="74"/>
      <c r="G25" s="75"/>
      <c r="H25" s="76"/>
      <c r="I25" s="76"/>
    </row>
    <row r="26" s="64" customFormat="true" ht="30" hidden="false" customHeight="true" outlineLevel="0" collapsed="false">
      <c r="B26" s="37"/>
      <c r="C26" s="37"/>
      <c r="D26" s="77"/>
      <c r="E26" s="78"/>
      <c r="F26" s="20" t="s">
        <v>24</v>
      </c>
      <c r="G26" s="20"/>
      <c r="H26" s="79" t="n">
        <f aca="false">G24/E24</f>
        <v>0.289411065591641</v>
      </c>
      <c r="I26" s="79"/>
    </row>
    <row r="27" s="64" customFormat="true" ht="30" hidden="false" customHeight="true" outlineLevel="0" collapsed="false">
      <c r="B27" s="37"/>
      <c r="C27" s="37"/>
      <c r="D27" s="77"/>
      <c r="E27" s="78"/>
      <c r="F27" s="26" t="s">
        <v>23</v>
      </c>
      <c r="G27" s="26"/>
      <c r="H27" s="80" t="n">
        <f aca="false">G24</f>
        <v>71229.804</v>
      </c>
      <c r="I27" s="80"/>
      <c r="R27" s="64" t="s">
        <v>25</v>
      </c>
    </row>
    <row r="28" s="64" customFormat="true" ht="30" hidden="false" customHeight="true" outlineLevel="0" collapsed="false">
      <c r="B28" s="37"/>
      <c r="C28" s="37"/>
      <c r="D28" s="37"/>
      <c r="E28" s="81"/>
      <c r="F28" s="26" t="s">
        <v>26</v>
      </c>
      <c r="G28" s="26"/>
      <c r="H28" s="82" t="n">
        <f aca="false">-G24*0%</f>
        <v>-0</v>
      </c>
      <c r="I28" s="82"/>
    </row>
    <row r="29" s="64" customFormat="true" ht="30" hidden="false" customHeight="true" outlineLevel="0" collapsed="false">
      <c r="D29" s="37"/>
      <c r="E29" s="3"/>
      <c r="F29" s="83" t="s">
        <v>27</v>
      </c>
      <c r="G29" s="83"/>
      <c r="H29" s="82" t="n">
        <v>0</v>
      </c>
      <c r="I29" s="82"/>
    </row>
    <row r="30" s="64" customFormat="true" ht="30" hidden="false" customHeight="true" outlineLevel="0" collapsed="false">
      <c r="D30" s="37"/>
      <c r="E30" s="3"/>
      <c r="F30" s="84" t="s">
        <v>28</v>
      </c>
      <c r="G30" s="84"/>
      <c r="H30" s="85" t="n">
        <f aca="false">SUM(H27:H29)</f>
        <v>71229.804</v>
      </c>
      <c r="I30" s="85"/>
    </row>
    <row r="31" s="23" customFormat="true" ht="27" hidden="false" customHeight="true" outlineLevel="0" collapsed="false">
      <c r="D31" s="86"/>
      <c r="E31" s="3"/>
    </row>
    <row r="32" s="23" customFormat="true" ht="27" hidden="false" customHeight="true" outlineLevel="0" collapsed="false">
      <c r="D32" s="37"/>
      <c r="E32" s="3"/>
    </row>
    <row r="33" s="23" customFormat="true" ht="16.9" hidden="false" customHeight="true" outlineLevel="0" collapsed="false">
      <c r="E33" s="3"/>
      <c r="F33" s="4"/>
      <c r="G33" s="5"/>
      <c r="H33" s="1"/>
      <c r="I33" s="1"/>
      <c r="Q33" s="23" t="s">
        <v>25</v>
      </c>
    </row>
    <row r="34" s="23" customFormat="true" ht="13" hidden="false" customHeight="false" outlineLevel="0" collapsed="false">
      <c r="C34" s="37"/>
      <c r="D34" s="37"/>
      <c r="E34" s="3"/>
      <c r="F34" s="4"/>
      <c r="G34" s="5"/>
      <c r="H34" s="1"/>
      <c r="I34" s="1"/>
    </row>
    <row r="35" customFormat="false" ht="13" hidden="false" customHeight="false" outlineLevel="0" collapsed="false">
      <c r="B35" s="23"/>
      <c r="C35" s="37"/>
      <c r="D35" s="37"/>
      <c r="J35" s="1" t="s">
        <v>25</v>
      </c>
    </row>
  </sheetData>
  <mergeCells count="16">
    <mergeCell ref="B2:H2"/>
    <mergeCell ref="B5:C5"/>
    <mergeCell ref="B8:C8"/>
    <mergeCell ref="H14:I14"/>
    <mergeCell ref="H15:I15"/>
    <mergeCell ref="H16:I16"/>
    <mergeCell ref="H17:I17"/>
    <mergeCell ref="H18:I18"/>
    <mergeCell ref="H23:I23"/>
    <mergeCell ref="H24:I24"/>
    <mergeCell ref="H25:I25"/>
    <mergeCell ref="H26:I26"/>
    <mergeCell ref="H27:I27"/>
    <mergeCell ref="H28:I28"/>
    <mergeCell ref="H29:I29"/>
    <mergeCell ref="H30:I30"/>
  </mergeCells>
  <printOptions headings="false" gridLines="false" gridLinesSet="true" horizontalCentered="true" verticalCentered="false"/>
  <pageMargins left="0.25" right="0.25" top="0.75" bottom="0.75" header="0.511805555555555" footer="0.3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>&amp;L&amp;10 _x005F_x000d_# Classification: Official</oddFooter>
  </headerFooter>
  <rowBreaks count="1" manualBreakCount="1">
    <brk id="41" man="true" max="16383" min="0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Q13"/>
  <sheetViews>
    <sheetView showFormulas="false" showGridLines="false" showRowColHeaders="true" showZeros="true" rightToLeft="false" tabSelected="false" showOutlineSymbols="true" defaultGridColor="true" view="pageBreakPreview" topLeftCell="A1" colorId="64" zoomScale="90" zoomScaleNormal="100" zoomScalePageLayoutView="90" workbookViewId="0">
      <selection pane="topLeft" activeCell="D5" activeCellId="0" sqref="D5"/>
    </sheetView>
  </sheetViews>
  <sheetFormatPr defaultColWidth="9.1796875" defaultRowHeight="14" zeroHeight="false" outlineLevelRow="0" outlineLevelCol="0"/>
  <cols>
    <col collapsed="false" customWidth="true" hidden="false" outlineLevel="0" max="1" min="1" style="87" width="3.46"/>
    <col collapsed="false" customWidth="true" hidden="false" outlineLevel="0" max="2" min="2" style="88" width="19.91"/>
    <col collapsed="false" customWidth="true" hidden="false" outlineLevel="0" max="3" min="3" style="88" width="16.82"/>
    <col collapsed="false" customWidth="true" hidden="false" outlineLevel="0" max="5" min="4" style="87" width="16.82"/>
    <col collapsed="false" customWidth="true" hidden="false" outlineLevel="0" max="6" min="6" style="89" width="16.82"/>
    <col collapsed="false" customWidth="true" hidden="false" outlineLevel="0" max="7" min="7" style="90" width="16.82"/>
    <col collapsed="false" customWidth="true" hidden="false" outlineLevel="0" max="8" min="8" style="91" width="16.82"/>
    <col collapsed="false" customWidth="true" hidden="false" outlineLevel="0" max="9" min="9" style="90" width="16.82"/>
    <col collapsed="false" customWidth="true" hidden="false" outlineLevel="0" max="10" min="10" style="90" width="24.18"/>
    <col collapsed="false" customWidth="true" hidden="false" outlineLevel="0" max="11" min="11" style="87" width="5.82"/>
    <col collapsed="false" customWidth="false" hidden="false" outlineLevel="0" max="12" min="12" style="87" width="9.18"/>
    <col collapsed="false" customWidth="true" hidden="true" outlineLevel="0" max="13" min="13" style="87" width="13.72"/>
    <col collapsed="false" customWidth="false" hidden="false" outlineLevel="0" max="15" min="14" style="87" width="9.18"/>
    <col collapsed="false" customWidth="true" hidden="false" outlineLevel="0" max="16" min="16" style="87" width="16.82"/>
    <col collapsed="false" customWidth="false" hidden="false" outlineLevel="0" max="1024" min="17" style="87" width="9.18"/>
  </cols>
  <sheetData>
    <row r="1" customFormat="false" ht="14.5" hidden="false" customHeight="true" outlineLevel="0" collapsed="false"/>
    <row r="2" customFormat="false" ht="24.75" hidden="false" customHeight="true" outlineLevel="0" collapsed="false">
      <c r="B2" s="92" t="s">
        <v>29</v>
      </c>
      <c r="C2" s="92"/>
      <c r="D2" s="92"/>
      <c r="E2" s="92"/>
      <c r="F2" s="92"/>
      <c r="G2" s="92"/>
      <c r="H2" s="92"/>
      <c r="I2" s="92"/>
      <c r="J2" s="92"/>
    </row>
    <row r="4" customFormat="false" ht="29.25" hidden="false" customHeight="true" outlineLevel="0" collapsed="false">
      <c r="B4" s="93" t="s">
        <v>30</v>
      </c>
      <c r="C4" s="93" t="s">
        <v>17</v>
      </c>
      <c r="D4" s="94" t="s">
        <v>31</v>
      </c>
      <c r="E4" s="94" t="s">
        <v>32</v>
      </c>
      <c r="F4" s="95" t="s">
        <v>33</v>
      </c>
      <c r="G4" s="96" t="s">
        <v>34</v>
      </c>
      <c r="H4" s="97" t="s">
        <v>35</v>
      </c>
      <c r="I4" s="96" t="s">
        <v>36</v>
      </c>
      <c r="J4" s="96" t="s">
        <v>37</v>
      </c>
    </row>
    <row r="5" customFormat="false" ht="29.25" hidden="false" customHeight="true" outlineLevel="0" collapsed="false">
      <c r="B5" s="98" t="s">
        <v>38</v>
      </c>
      <c r="C5" s="99" t="s">
        <v>39</v>
      </c>
      <c r="D5" s="100" t="n">
        <f aca="false">SUMIFS(Table18[QTY],Table18[Zone],BoQ_Summary!C5,Table18[Cat],BoQ_Summary!B5)</f>
        <v>25.11406</v>
      </c>
      <c r="E5" s="101" t="s">
        <v>40</v>
      </c>
      <c r="F5" s="102" t="n">
        <f aca="false">G5/D5</f>
        <v>2066.76276157658</v>
      </c>
      <c r="G5" s="103" t="n">
        <f aca="false">SUMIFS(Table18[[Total ]],Table18[Zone],BoQ_Summary!C5,Table18[Cat],BoQ_Summary!B5)</f>
        <v>51904.804</v>
      </c>
      <c r="H5" s="104" t="n">
        <v>1</v>
      </c>
      <c r="I5" s="105" t="n">
        <f aca="false">IF(H5="","",H5*G5)</f>
        <v>51904.804</v>
      </c>
      <c r="J5" s="105"/>
      <c r="O5" s="106"/>
      <c r="Q5" s="87" t="s">
        <v>41</v>
      </c>
    </row>
    <row r="6" customFormat="false" ht="29.25" hidden="false" customHeight="true" outlineLevel="0" collapsed="false">
      <c r="B6" s="98" t="s">
        <v>42</v>
      </c>
      <c r="C6" s="99" t="s">
        <v>39</v>
      </c>
      <c r="D6" s="100" t="n">
        <f aca="false">SUMIFS(Table18[QTY],Table18[Zone],BoQ_Summary!C6,Table18[Cat],BoQ_Summary!B6)</f>
        <v>1260</v>
      </c>
      <c r="E6" s="101" t="s">
        <v>43</v>
      </c>
      <c r="F6" s="102" t="n">
        <f aca="false">G6/D6</f>
        <v>15.3373015873016</v>
      </c>
      <c r="G6" s="103" t="n">
        <f aca="false">SUMIFS(Table18[[Total ]],Table18[Zone],BoQ_Summary!C6,Table18[Cat],BoQ_Summary!B6)</f>
        <v>19325</v>
      </c>
      <c r="H6" s="104" t="n">
        <v>1</v>
      </c>
      <c r="I6" s="105" t="n">
        <f aca="false">IF(H6="","",H6*G6)</f>
        <v>19325</v>
      </c>
      <c r="J6" s="105"/>
      <c r="O6" s="106"/>
    </row>
    <row r="7" customFormat="false" ht="29.25" hidden="false" customHeight="true" outlineLevel="0" collapsed="false">
      <c r="B7" s="98" t="s">
        <v>38</v>
      </c>
      <c r="C7" s="99" t="s">
        <v>44</v>
      </c>
      <c r="D7" s="100" t="n">
        <f aca="false">SUMIFS(Table18[QTY],Table18[Zone],BoQ_Summary!C7,Table18[Cat],BoQ_Summary!B7)</f>
        <v>68.4745</v>
      </c>
      <c r="E7" s="101" t="s">
        <v>40</v>
      </c>
      <c r="F7" s="102" t="n">
        <f aca="false">G7/D7</f>
        <v>1858.50253744095</v>
      </c>
      <c r="G7" s="103" t="n">
        <f aca="false">SUMIFS(Table18[[Total ]],Table18[Zone],BoQ_Summary!C7,Table18[Cat],BoQ_Summary!B7)</f>
        <v>127260.032</v>
      </c>
      <c r="H7" s="104"/>
      <c r="I7" s="105" t="str">
        <f aca="false">IF(H7="","",H7*G7)</f>
        <v/>
      </c>
      <c r="J7" s="105"/>
      <c r="O7" s="106"/>
    </row>
    <row r="8" customFormat="false" ht="29.25" hidden="false" customHeight="true" outlineLevel="0" collapsed="false">
      <c r="B8" s="98" t="s">
        <v>42</v>
      </c>
      <c r="C8" s="99" t="s">
        <v>44</v>
      </c>
      <c r="D8" s="100" t="n">
        <f aca="false">SUMIFS(Table18[QTY],Table18[Zone],BoQ_Summary!C8,Table18[Cat],BoQ_Summary!B8)</f>
        <v>2560</v>
      </c>
      <c r="E8" s="101" t="s">
        <v>43</v>
      </c>
      <c r="F8" s="102" t="n">
        <f aca="false">G8/D8</f>
        <v>16.65234375</v>
      </c>
      <c r="G8" s="103" t="n">
        <f aca="false">SUMIFS(Table18[[Total ]],Table18[Zone],BoQ_Summary!C8,Table18[Cat],BoQ_Summary!B8)</f>
        <v>42630</v>
      </c>
      <c r="H8" s="104"/>
      <c r="I8" s="105"/>
      <c r="J8" s="105"/>
      <c r="O8" s="106"/>
    </row>
    <row r="9" s="107" customFormat="true" ht="27" hidden="false" customHeight="true" outlineLevel="0" collapsed="false">
      <c r="B9" s="108"/>
      <c r="C9" s="108"/>
      <c r="D9" s="108"/>
      <c r="E9" s="108"/>
      <c r="F9" s="109"/>
      <c r="G9" s="110" t="n">
        <f aca="false">SUM(G5:G8)</f>
        <v>241119.836</v>
      </c>
      <c r="H9" s="111" t="n">
        <f aca="false">I9/G9</f>
        <v>0.295412460383392</v>
      </c>
      <c r="I9" s="110" t="n">
        <f aca="false">SUM(I5:I8)</f>
        <v>71229.804</v>
      </c>
      <c r="J9" s="110"/>
    </row>
    <row r="10" customFormat="false" ht="14" hidden="false" customHeight="false" outlineLevel="0" collapsed="false">
      <c r="G10" s="90" t="s">
        <v>25</v>
      </c>
    </row>
    <row r="13" customFormat="false" ht="14" hidden="false" customHeight="false" outlineLevel="0" collapsed="false">
      <c r="D13" s="87" t="s">
        <v>25</v>
      </c>
    </row>
  </sheetData>
  <mergeCells count="1">
    <mergeCell ref="B2:J2"/>
  </mergeCell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A2:BE45"/>
  <sheetViews>
    <sheetView showFormulas="false" showGridLines="false" showRowColHeaders="true" showZeros="true" rightToLeft="false" tabSelected="true" showOutlineSymbols="true" defaultGridColor="true" view="pageBreakPreview" topLeftCell="A1" colorId="64" zoomScale="80" zoomScaleNormal="100" zoomScalePageLayoutView="80" workbookViewId="0">
      <selection pane="topLeft" activeCell="A7" activeCellId="0" sqref="A7"/>
    </sheetView>
  </sheetViews>
  <sheetFormatPr defaultColWidth="8.82421875" defaultRowHeight="14.5" zeroHeight="false" outlineLevelRow="0" outlineLevelCol="0"/>
  <cols>
    <col collapsed="false" customWidth="true" hidden="false" outlineLevel="0" max="1" min="1" style="112" width="10.45"/>
    <col collapsed="false" customWidth="true" hidden="false" outlineLevel="0" max="2" min="2" style="113" width="23.18"/>
    <col collapsed="false" customWidth="true" hidden="false" outlineLevel="0" max="3" min="3" style="114" width="13.45"/>
    <col collapsed="false" customWidth="true" hidden="false" outlineLevel="0" max="4" min="4" style="114" width="11.45"/>
    <col collapsed="false" customWidth="true" hidden="false" outlineLevel="0" max="5" min="5" style="114" width="11.54"/>
    <col collapsed="false" customWidth="true" hidden="false" outlineLevel="0" max="6" min="6" style="115" width="11.54"/>
    <col collapsed="false" customWidth="true" hidden="false" outlineLevel="0" max="7" min="7" style="114" width="8.64"/>
    <col collapsed="false" customWidth="true" hidden="false" outlineLevel="0" max="8" min="8" style="116" width="9.45"/>
    <col collapsed="false" customWidth="true" hidden="false" outlineLevel="0" max="9" min="9" style="117" width="9.18"/>
    <col collapsed="false" customWidth="true" hidden="false" outlineLevel="0" max="10" min="10" style="118" width="11.72"/>
    <col collapsed="false" customWidth="true" hidden="false" outlineLevel="0" max="11" min="11" style="118" width="13.09"/>
    <col collapsed="false" customWidth="true" hidden="false" outlineLevel="0" max="12" min="12" style="0" width="24.82"/>
    <col collapsed="false" customWidth="true" hidden="true" outlineLevel="0" max="13" min="13" style="0" width="14.27"/>
    <col collapsed="false" customWidth="true" hidden="true" outlineLevel="0" max="14" min="14" style="0" width="11.27"/>
    <col collapsed="false" customWidth="true" hidden="true" outlineLevel="0" max="15" min="15" style="119" width="20.45"/>
    <col collapsed="false" customWidth="true" hidden="true" outlineLevel="0" max="20" min="16" style="113" width="9.14"/>
    <col collapsed="false" customWidth="false" hidden="false" outlineLevel="0" max="1024" min="21" style="113" width="8.82"/>
  </cols>
  <sheetData>
    <row r="2" s="125" customFormat="true" ht="26.5" hidden="false" customHeight="true" outlineLevel="0" collapsed="false">
      <c r="A2" s="120" t="s">
        <v>45</v>
      </c>
      <c r="B2" s="120" t="s">
        <v>30</v>
      </c>
      <c r="C2" s="120" t="s">
        <v>46</v>
      </c>
      <c r="D2" s="120" t="s">
        <v>47</v>
      </c>
      <c r="E2" s="120" t="s">
        <v>17</v>
      </c>
      <c r="F2" s="121" t="s">
        <v>48</v>
      </c>
      <c r="G2" s="122" t="s">
        <v>49</v>
      </c>
      <c r="H2" s="122" t="s">
        <v>31</v>
      </c>
      <c r="I2" s="123" t="s">
        <v>50</v>
      </c>
      <c r="J2" s="124" t="s">
        <v>51</v>
      </c>
      <c r="K2" s="124" t="s">
        <v>52</v>
      </c>
      <c r="O2" s="126"/>
    </row>
    <row r="3" s="134" customFormat="true" ht="10.5" hidden="false" customHeight="true" outlineLevel="0" collapsed="false">
      <c r="A3" s="127"/>
      <c r="B3" s="128"/>
      <c r="C3" s="128"/>
      <c r="D3" s="128"/>
      <c r="E3" s="129"/>
      <c r="F3" s="130"/>
      <c r="G3" s="131"/>
      <c r="H3" s="131"/>
      <c r="I3" s="132"/>
      <c r="J3" s="133"/>
      <c r="K3" s="133"/>
      <c r="BE3" s="135" t="s">
        <v>53</v>
      </c>
    </row>
    <row r="4" s="134" customFormat="true" ht="33" hidden="false" customHeight="true" outlineLevel="0" collapsed="false">
      <c r="A4" s="127"/>
      <c r="B4" s="136" t="s">
        <v>54</v>
      </c>
      <c r="C4" s="128"/>
      <c r="D4" s="128"/>
      <c r="E4" s="129"/>
      <c r="F4" s="130"/>
      <c r="G4" s="131"/>
      <c r="H4" s="131"/>
      <c r="I4" s="132"/>
      <c r="J4" s="133"/>
      <c r="K4" s="133"/>
      <c r="M4" s="137" t="s">
        <v>17</v>
      </c>
      <c r="N4" s="138" t="s">
        <v>46</v>
      </c>
      <c r="O4" s="139" t="s">
        <v>55</v>
      </c>
      <c r="BE4" s="135" t="s">
        <v>56</v>
      </c>
    </row>
    <row r="5" s="134" customFormat="true" ht="33" hidden="false" customHeight="true" outlineLevel="0" collapsed="false">
      <c r="A5" s="127" t="n">
        <v>1</v>
      </c>
      <c r="B5" s="128" t="s">
        <v>57</v>
      </c>
      <c r="C5" s="128" t="s">
        <v>38</v>
      </c>
      <c r="D5" s="128" t="s">
        <v>58</v>
      </c>
      <c r="E5" s="129" t="s">
        <v>39</v>
      </c>
      <c r="F5" s="130" t="n">
        <v>108.66</v>
      </c>
      <c r="G5" s="140" t="n">
        <v>2</v>
      </c>
      <c r="H5" s="131" t="n">
        <v>0.21732</v>
      </c>
      <c r="I5" s="132" t="s">
        <v>59</v>
      </c>
      <c r="J5" s="133" t="n">
        <v>3400</v>
      </c>
      <c r="K5" s="133" t="n">
        <v>738.888</v>
      </c>
      <c r="M5" s="141" t="s">
        <v>39</v>
      </c>
      <c r="N5" s="142"/>
      <c r="O5" s="143" t="n">
        <v>1285.11406</v>
      </c>
      <c r="BE5" s="135" t="s">
        <v>60</v>
      </c>
    </row>
    <row r="6" s="134" customFormat="true" ht="33" hidden="false" customHeight="true" outlineLevel="0" collapsed="false">
      <c r="A6" s="127" t="n">
        <v>2</v>
      </c>
      <c r="B6" s="128"/>
      <c r="C6" s="128"/>
      <c r="D6" s="128"/>
      <c r="E6" s="129"/>
      <c r="F6" s="130"/>
      <c r="G6" s="140"/>
      <c r="H6" s="131"/>
      <c r="I6" s="132"/>
      <c r="J6" s="133"/>
      <c r="K6" s="133"/>
      <c r="M6" s="144"/>
      <c r="N6" s="145" t="s">
        <v>42</v>
      </c>
      <c r="O6" s="146" t="n">
        <v>1260</v>
      </c>
      <c r="BE6" s="135" t="s">
        <v>61</v>
      </c>
    </row>
    <row r="7" s="134" customFormat="true" ht="33" hidden="false" customHeight="true" outlineLevel="0" collapsed="false">
      <c r="A7" s="127" t="n">
        <v>3</v>
      </c>
      <c r="B7" s="128" t="s">
        <v>62</v>
      </c>
      <c r="C7" s="128" t="s">
        <v>38</v>
      </c>
      <c r="D7" s="128" t="s">
        <v>58</v>
      </c>
      <c r="E7" s="129" t="s">
        <v>39</v>
      </c>
      <c r="F7" s="130" t="n">
        <v>140.971666666667</v>
      </c>
      <c r="G7" s="140" t="n">
        <v>6</v>
      </c>
      <c r="H7" s="131" t="n">
        <v>0.84583</v>
      </c>
      <c r="I7" s="132" t="s">
        <v>59</v>
      </c>
      <c r="J7" s="133" t="n">
        <v>2975</v>
      </c>
      <c r="K7" s="133" t="n">
        <v>2516.34425</v>
      </c>
      <c r="M7" s="147"/>
      <c r="N7" s="148" t="s">
        <v>38</v>
      </c>
      <c r="O7" s="149" t="n">
        <v>25.11406</v>
      </c>
      <c r="BE7" s="135"/>
    </row>
    <row r="8" s="134" customFormat="true" ht="33" hidden="false" customHeight="true" outlineLevel="0" collapsed="false">
      <c r="A8" s="127" t="n">
        <v>4</v>
      </c>
      <c r="B8" s="128" t="s">
        <v>63</v>
      </c>
      <c r="C8" s="128" t="s">
        <v>38</v>
      </c>
      <c r="D8" s="128" t="s">
        <v>58</v>
      </c>
      <c r="E8" s="129" t="s">
        <v>39</v>
      </c>
      <c r="F8" s="130" t="n">
        <v>138.365</v>
      </c>
      <c r="G8" s="140" t="n">
        <v>2</v>
      </c>
      <c r="H8" s="131" t="n">
        <v>0.27673</v>
      </c>
      <c r="I8" s="132" t="s">
        <v>59</v>
      </c>
      <c r="J8" s="133" t="n">
        <v>3450</v>
      </c>
      <c r="K8" s="133" t="n">
        <v>954.7185</v>
      </c>
      <c r="M8" s="141" t="s">
        <v>44</v>
      </c>
      <c r="N8" s="142"/>
      <c r="O8" s="143" t="n">
        <v>2628.4745</v>
      </c>
      <c r="BE8" s="135"/>
    </row>
    <row r="9" s="134" customFormat="true" ht="33" hidden="false" customHeight="true" outlineLevel="0" collapsed="false">
      <c r="A9" s="127" t="n">
        <v>5</v>
      </c>
      <c r="B9" s="128" t="s">
        <v>64</v>
      </c>
      <c r="C9" s="128" t="s">
        <v>38</v>
      </c>
      <c r="D9" s="128" t="s">
        <v>58</v>
      </c>
      <c r="E9" s="129" t="s">
        <v>39</v>
      </c>
      <c r="F9" s="130" t="n">
        <v>303.93</v>
      </c>
      <c r="G9" s="140" t="n">
        <v>2</v>
      </c>
      <c r="H9" s="131" t="n">
        <v>0.60786</v>
      </c>
      <c r="I9" s="132" t="s">
        <v>59</v>
      </c>
      <c r="J9" s="133" t="n">
        <v>2450</v>
      </c>
      <c r="K9" s="133" t="n">
        <v>1489.257</v>
      </c>
      <c r="M9" s="144"/>
      <c r="N9" s="145" t="s">
        <v>42</v>
      </c>
      <c r="O9" s="146" t="n">
        <v>2560</v>
      </c>
      <c r="BE9" s="135"/>
    </row>
    <row r="10" s="134" customFormat="true" ht="33" hidden="false" customHeight="true" outlineLevel="0" collapsed="false">
      <c r="A10" s="127" t="n">
        <v>6</v>
      </c>
      <c r="B10" s="128" t="s">
        <v>65</v>
      </c>
      <c r="C10" s="128" t="s">
        <v>38</v>
      </c>
      <c r="D10" s="128" t="s">
        <v>58</v>
      </c>
      <c r="E10" s="129" t="s">
        <v>39</v>
      </c>
      <c r="F10" s="130" t="n">
        <v>136.925714285714</v>
      </c>
      <c r="G10" s="140" t="n">
        <v>7</v>
      </c>
      <c r="H10" s="131" t="n">
        <v>0.95848</v>
      </c>
      <c r="I10" s="132" t="s">
        <v>59</v>
      </c>
      <c r="J10" s="133" t="n">
        <v>2675</v>
      </c>
      <c r="K10" s="133" t="n">
        <v>2563.934</v>
      </c>
      <c r="M10" s="147"/>
      <c r="N10" s="148" t="s">
        <v>38</v>
      </c>
      <c r="O10" s="149" t="n">
        <v>68.4745</v>
      </c>
      <c r="BE10" s="135"/>
    </row>
    <row r="11" s="134" customFormat="true" ht="33" hidden="false" customHeight="true" outlineLevel="0" collapsed="false">
      <c r="A11" s="127" t="n">
        <v>7</v>
      </c>
      <c r="B11" s="128" t="s">
        <v>66</v>
      </c>
      <c r="C11" s="128" t="s">
        <v>38</v>
      </c>
      <c r="D11" s="128" t="s">
        <v>58</v>
      </c>
      <c r="E11" s="129" t="s">
        <v>39</v>
      </c>
      <c r="F11" s="130" t="n">
        <v>572.566</v>
      </c>
      <c r="G11" s="140" t="n">
        <v>10</v>
      </c>
      <c r="H11" s="131" t="n">
        <v>5.72566</v>
      </c>
      <c r="I11" s="132" t="s">
        <v>59</v>
      </c>
      <c r="J11" s="133" t="n">
        <v>1600</v>
      </c>
      <c r="K11" s="133" t="n">
        <v>9161.056</v>
      </c>
      <c r="M11" s="150" t="s">
        <v>67</v>
      </c>
      <c r="N11" s="151"/>
      <c r="O11" s="152" t="n">
        <v>3913.58856</v>
      </c>
      <c r="BE11" s="135"/>
    </row>
    <row r="12" s="134" customFormat="true" ht="33" hidden="false" customHeight="true" outlineLevel="0" collapsed="false">
      <c r="A12" s="127" t="n">
        <v>8</v>
      </c>
      <c r="B12" s="128" t="s">
        <v>68</v>
      </c>
      <c r="C12" s="128" t="s">
        <v>38</v>
      </c>
      <c r="D12" s="128" t="s">
        <v>69</v>
      </c>
      <c r="E12" s="129" t="s">
        <v>39</v>
      </c>
      <c r="F12" s="130" t="n">
        <v>101.130833333333</v>
      </c>
      <c r="G12" s="140" t="n">
        <v>12</v>
      </c>
      <c r="H12" s="131" t="n">
        <v>1.21357</v>
      </c>
      <c r="I12" s="132" t="s">
        <v>59</v>
      </c>
      <c r="J12" s="133" t="n">
        <v>3475</v>
      </c>
      <c r="K12" s="133" t="n">
        <v>4217.15575</v>
      </c>
      <c r="BE12" s="135"/>
    </row>
    <row r="13" s="134" customFormat="true" ht="33" hidden="false" customHeight="true" outlineLevel="0" collapsed="false">
      <c r="A13" s="127" t="n">
        <v>9</v>
      </c>
      <c r="B13" s="128" t="s">
        <v>57</v>
      </c>
      <c r="C13" s="128" t="s">
        <v>38</v>
      </c>
      <c r="D13" s="128" t="s">
        <v>69</v>
      </c>
      <c r="E13" s="129" t="s">
        <v>39</v>
      </c>
      <c r="F13" s="130" t="n">
        <v>110.155</v>
      </c>
      <c r="G13" s="140" t="n">
        <v>2</v>
      </c>
      <c r="H13" s="131" t="n">
        <v>0.22031</v>
      </c>
      <c r="I13" s="132" t="s">
        <v>59</v>
      </c>
      <c r="J13" s="133" t="n">
        <v>3375</v>
      </c>
      <c r="K13" s="133" t="n">
        <v>743.54625</v>
      </c>
      <c r="BE13" s="135"/>
    </row>
    <row r="14" s="134" customFormat="true" ht="33" hidden="false" customHeight="true" outlineLevel="0" collapsed="false">
      <c r="A14" s="127" t="n">
        <v>10</v>
      </c>
      <c r="B14" s="128" t="s">
        <v>70</v>
      </c>
      <c r="C14" s="128" t="s">
        <v>38</v>
      </c>
      <c r="D14" s="128" t="s">
        <v>69</v>
      </c>
      <c r="E14" s="129" t="s">
        <v>39</v>
      </c>
      <c r="F14" s="130" t="n">
        <v>159.8775</v>
      </c>
      <c r="G14" s="140" t="n">
        <v>4</v>
      </c>
      <c r="H14" s="131" t="n">
        <v>0.63951</v>
      </c>
      <c r="I14" s="132" t="s">
        <v>59</v>
      </c>
      <c r="J14" s="133" t="n">
        <v>2950</v>
      </c>
      <c r="K14" s="133" t="n">
        <v>1886.5545</v>
      </c>
      <c r="BE14" s="135"/>
    </row>
    <row r="15" s="134" customFormat="true" ht="33" hidden="false" customHeight="true" outlineLevel="0" collapsed="false">
      <c r="A15" s="127" t="n">
        <v>11</v>
      </c>
      <c r="B15" s="128" t="s">
        <v>71</v>
      </c>
      <c r="C15" s="128" t="s">
        <v>38</v>
      </c>
      <c r="D15" s="128" t="s">
        <v>72</v>
      </c>
      <c r="E15" s="129" t="s">
        <v>39</v>
      </c>
      <c r="F15" s="130" t="n">
        <v>230.924285714286</v>
      </c>
      <c r="G15" s="140" t="n">
        <v>14</v>
      </c>
      <c r="H15" s="131" t="n">
        <v>3.23294</v>
      </c>
      <c r="I15" s="132" t="s">
        <v>59</v>
      </c>
      <c r="J15" s="133" t="n">
        <v>1875</v>
      </c>
      <c r="K15" s="133" t="n">
        <v>6061.7625</v>
      </c>
      <c r="BE15" s="135"/>
    </row>
    <row r="16" s="134" customFormat="true" ht="33" hidden="false" customHeight="true" outlineLevel="0" collapsed="false">
      <c r="A16" s="127" t="n">
        <v>12</v>
      </c>
      <c r="B16" s="128" t="s">
        <v>65</v>
      </c>
      <c r="C16" s="128" t="s">
        <v>38</v>
      </c>
      <c r="D16" s="128" t="s">
        <v>72</v>
      </c>
      <c r="E16" s="129" t="s">
        <v>39</v>
      </c>
      <c r="F16" s="130" t="n">
        <v>44.525</v>
      </c>
      <c r="G16" s="140" t="n">
        <v>18</v>
      </c>
      <c r="H16" s="131" t="n">
        <v>0.80145</v>
      </c>
      <c r="I16" s="132" t="s">
        <v>59</v>
      </c>
      <c r="J16" s="133" t="n">
        <v>4600</v>
      </c>
      <c r="K16" s="133" t="n">
        <v>3686.67</v>
      </c>
      <c r="BE16" s="135"/>
    </row>
    <row r="17" s="134" customFormat="true" ht="33" hidden="false" customHeight="true" outlineLevel="0" collapsed="false">
      <c r="A17" s="127" t="n">
        <v>13</v>
      </c>
      <c r="B17" s="128" t="s">
        <v>73</v>
      </c>
      <c r="C17" s="128" t="s">
        <v>38</v>
      </c>
      <c r="D17" s="128" t="s">
        <v>72</v>
      </c>
      <c r="E17" s="129" t="s">
        <v>39</v>
      </c>
      <c r="F17" s="130" t="n">
        <v>398.7225</v>
      </c>
      <c r="G17" s="140" t="n">
        <v>8</v>
      </c>
      <c r="H17" s="131" t="n">
        <v>3.18978</v>
      </c>
      <c r="I17" s="132" t="s">
        <v>59</v>
      </c>
      <c r="J17" s="133" t="n">
        <v>1700</v>
      </c>
      <c r="K17" s="133" t="n">
        <v>5422.626</v>
      </c>
      <c r="BE17" s="135"/>
    </row>
    <row r="18" s="134" customFormat="true" ht="33" hidden="false" customHeight="true" outlineLevel="0" collapsed="false">
      <c r="A18" s="127" t="n">
        <v>14</v>
      </c>
      <c r="B18" s="128" t="s">
        <v>74</v>
      </c>
      <c r="C18" s="128" t="s">
        <v>38</v>
      </c>
      <c r="D18" s="128" t="s">
        <v>72</v>
      </c>
      <c r="E18" s="129" t="s">
        <v>39</v>
      </c>
      <c r="F18" s="130" t="n">
        <v>605.131666666667</v>
      </c>
      <c r="G18" s="140" t="n">
        <v>6</v>
      </c>
      <c r="H18" s="131" t="n">
        <v>3.63079</v>
      </c>
      <c r="I18" s="132" t="s">
        <v>59</v>
      </c>
      <c r="J18" s="133" t="n">
        <v>1600</v>
      </c>
      <c r="K18" s="133" t="n">
        <v>5809.264</v>
      </c>
      <c r="BE18" s="135"/>
    </row>
    <row r="19" s="134" customFormat="true" ht="33" hidden="false" customHeight="true" outlineLevel="0" collapsed="false">
      <c r="A19" s="127" t="n">
        <v>15</v>
      </c>
      <c r="B19" s="128" t="s">
        <v>75</v>
      </c>
      <c r="C19" s="128" t="s">
        <v>38</v>
      </c>
      <c r="D19" s="128" t="s">
        <v>76</v>
      </c>
      <c r="E19" s="129" t="s">
        <v>39</v>
      </c>
      <c r="F19" s="130" t="n">
        <v>138.4575</v>
      </c>
      <c r="G19" s="140" t="n">
        <v>4</v>
      </c>
      <c r="H19" s="131" t="n">
        <v>0.55383</v>
      </c>
      <c r="I19" s="132" t="s">
        <v>59</v>
      </c>
      <c r="J19" s="133" t="n">
        <v>3075</v>
      </c>
      <c r="K19" s="133" t="n">
        <v>1703.02725</v>
      </c>
      <c r="BE19" s="135"/>
    </row>
    <row r="20" s="134" customFormat="true" ht="33" hidden="false" customHeight="true" outlineLevel="0" collapsed="false">
      <c r="A20" s="127" t="n">
        <v>16</v>
      </c>
      <c r="B20" s="128" t="s">
        <v>57</v>
      </c>
      <c r="C20" s="128" t="s">
        <v>38</v>
      </c>
      <c r="D20" s="128" t="s">
        <v>58</v>
      </c>
      <c r="E20" s="129" t="s">
        <v>44</v>
      </c>
      <c r="F20" s="130" t="n">
        <v>109.071666666667</v>
      </c>
      <c r="G20" s="140" t="n">
        <v>6</v>
      </c>
      <c r="H20" s="131" t="n">
        <v>0.65443</v>
      </c>
      <c r="I20" s="132" t="s">
        <v>59</v>
      </c>
      <c r="J20" s="133" t="n">
        <v>3400</v>
      </c>
      <c r="K20" s="133" t="n">
        <v>2225.062</v>
      </c>
      <c r="BE20" s="135"/>
    </row>
    <row r="21" s="134" customFormat="true" ht="33" hidden="false" customHeight="true" outlineLevel="0" collapsed="false">
      <c r="A21" s="127" t="n">
        <v>17</v>
      </c>
      <c r="B21" s="128" t="s">
        <v>77</v>
      </c>
      <c r="C21" s="128" t="s">
        <v>38</v>
      </c>
      <c r="D21" s="128" t="s">
        <v>58</v>
      </c>
      <c r="E21" s="129" t="s">
        <v>44</v>
      </c>
      <c r="F21" s="130" t="n">
        <v>156.344090909091</v>
      </c>
      <c r="G21" s="140" t="n">
        <v>22</v>
      </c>
      <c r="H21" s="131" t="n">
        <v>3.43957</v>
      </c>
      <c r="I21" s="132" t="s">
        <v>59</v>
      </c>
      <c r="J21" s="133" t="n">
        <v>2225</v>
      </c>
      <c r="K21" s="133" t="n">
        <v>7653.04325</v>
      </c>
      <c r="BE21" s="135"/>
    </row>
    <row r="22" s="134" customFormat="true" ht="33" hidden="false" customHeight="true" outlineLevel="0" collapsed="false">
      <c r="A22" s="127" t="n">
        <v>18</v>
      </c>
      <c r="B22" s="128" t="s">
        <v>71</v>
      </c>
      <c r="C22" s="128" t="s">
        <v>38</v>
      </c>
      <c r="D22" s="128" t="s">
        <v>58</v>
      </c>
      <c r="E22" s="129" t="s">
        <v>44</v>
      </c>
      <c r="F22" s="130" t="n">
        <v>197.634090909091</v>
      </c>
      <c r="G22" s="140" t="n">
        <v>22</v>
      </c>
      <c r="H22" s="131" t="n">
        <v>4.34795</v>
      </c>
      <c r="I22" s="132" t="s">
        <v>59</v>
      </c>
      <c r="J22" s="133" t="n">
        <v>2025</v>
      </c>
      <c r="K22" s="133" t="n">
        <v>8804.59875</v>
      </c>
      <c r="M22" s="153"/>
      <c r="N22" s="154"/>
      <c r="O22" s="119"/>
      <c r="BE22" s="135"/>
    </row>
    <row r="23" s="134" customFormat="true" ht="33" hidden="false" customHeight="true" outlineLevel="0" collapsed="false">
      <c r="A23" s="127" t="n">
        <v>19</v>
      </c>
      <c r="B23" s="128" t="s">
        <v>78</v>
      </c>
      <c r="C23" s="128" t="s">
        <v>38</v>
      </c>
      <c r="D23" s="128" t="s">
        <v>58</v>
      </c>
      <c r="E23" s="129" t="s">
        <v>44</v>
      </c>
      <c r="F23" s="130" t="n">
        <v>194.68</v>
      </c>
      <c r="G23" s="140" t="n">
        <v>8</v>
      </c>
      <c r="H23" s="131" t="n">
        <v>1.55744</v>
      </c>
      <c r="I23" s="132" t="s">
        <v>59</v>
      </c>
      <c r="J23" s="133" t="n">
        <v>2775</v>
      </c>
      <c r="K23" s="133" t="n">
        <v>4321.896</v>
      </c>
      <c r="O23" s="119"/>
      <c r="BE23" s="135"/>
    </row>
    <row r="24" s="134" customFormat="true" ht="33" hidden="false" customHeight="true" outlineLevel="0" collapsed="false">
      <c r="A24" s="127" t="n">
        <v>20</v>
      </c>
      <c r="B24" s="128" t="s">
        <v>64</v>
      </c>
      <c r="C24" s="128" t="s">
        <v>38</v>
      </c>
      <c r="D24" s="128" t="s">
        <v>58</v>
      </c>
      <c r="E24" s="129" t="s">
        <v>44</v>
      </c>
      <c r="F24" s="130" t="n">
        <v>346.885</v>
      </c>
      <c r="G24" s="140" t="n">
        <v>2</v>
      </c>
      <c r="H24" s="131" t="n">
        <v>0.69377</v>
      </c>
      <c r="I24" s="132" t="s">
        <v>59</v>
      </c>
      <c r="J24" s="133" t="n">
        <v>2325</v>
      </c>
      <c r="K24" s="133" t="n">
        <v>1613.01525</v>
      </c>
      <c r="O24" s="119"/>
      <c r="BE24" s="135"/>
    </row>
    <row r="25" s="134" customFormat="true" ht="33" hidden="false" customHeight="true" outlineLevel="0" collapsed="false">
      <c r="A25" s="127" t="n">
        <v>21</v>
      </c>
      <c r="B25" s="128" t="s">
        <v>65</v>
      </c>
      <c r="C25" s="128" t="s">
        <v>38</v>
      </c>
      <c r="D25" s="128" t="s">
        <v>58</v>
      </c>
      <c r="E25" s="129" t="s">
        <v>44</v>
      </c>
      <c r="F25" s="130" t="n">
        <v>144.977</v>
      </c>
      <c r="G25" s="140" t="n">
        <v>10</v>
      </c>
      <c r="H25" s="131" t="n">
        <v>1.44977</v>
      </c>
      <c r="I25" s="132" t="s">
        <v>59</v>
      </c>
      <c r="J25" s="133" t="n">
        <v>2575</v>
      </c>
      <c r="K25" s="133" t="n">
        <v>3733.15775</v>
      </c>
      <c r="O25" s="119"/>
      <c r="BE25" s="135"/>
    </row>
    <row r="26" s="134" customFormat="true" ht="33" hidden="false" customHeight="true" outlineLevel="0" collapsed="false">
      <c r="A26" s="127" t="n">
        <v>22</v>
      </c>
      <c r="B26" s="128" t="s">
        <v>79</v>
      </c>
      <c r="C26" s="128" t="s">
        <v>38</v>
      </c>
      <c r="D26" s="128" t="s">
        <v>58</v>
      </c>
      <c r="E26" s="129" t="s">
        <v>44</v>
      </c>
      <c r="F26" s="130" t="n">
        <v>345.964</v>
      </c>
      <c r="G26" s="140" t="n">
        <v>20</v>
      </c>
      <c r="H26" s="131" t="n">
        <v>6.91928</v>
      </c>
      <c r="I26" s="132" t="s">
        <v>59</v>
      </c>
      <c r="J26" s="133" t="n">
        <v>1800</v>
      </c>
      <c r="K26" s="133" t="n">
        <v>12454.704</v>
      </c>
      <c r="O26" s="119"/>
      <c r="BE26" s="135"/>
    </row>
    <row r="27" s="134" customFormat="true" ht="33" hidden="false" customHeight="true" outlineLevel="0" collapsed="false">
      <c r="A27" s="127" t="n">
        <v>23</v>
      </c>
      <c r="B27" s="128" t="s">
        <v>80</v>
      </c>
      <c r="C27" s="128" t="s">
        <v>38</v>
      </c>
      <c r="D27" s="128" t="s">
        <v>58</v>
      </c>
      <c r="E27" s="129" t="s">
        <v>44</v>
      </c>
      <c r="F27" s="130" t="n">
        <v>1372.18636363636</v>
      </c>
      <c r="G27" s="140" t="n">
        <v>11</v>
      </c>
      <c r="H27" s="131" t="n">
        <v>15.09405</v>
      </c>
      <c r="I27" s="132" t="s">
        <v>59</v>
      </c>
      <c r="J27" s="133" t="n">
        <v>1250</v>
      </c>
      <c r="K27" s="133" t="n">
        <v>18867.5625</v>
      </c>
      <c r="O27" s="119"/>
      <c r="BE27" s="135"/>
    </row>
    <row r="28" s="134" customFormat="true" ht="33" hidden="false" customHeight="true" outlineLevel="0" collapsed="false">
      <c r="A28" s="127" t="n">
        <v>24</v>
      </c>
      <c r="B28" s="128" t="s">
        <v>68</v>
      </c>
      <c r="C28" s="128" t="s">
        <v>38</v>
      </c>
      <c r="D28" s="128" t="s">
        <v>69</v>
      </c>
      <c r="E28" s="129" t="s">
        <v>44</v>
      </c>
      <c r="F28" s="130" t="n">
        <v>102.875357142857</v>
      </c>
      <c r="G28" s="140" t="n">
        <v>28</v>
      </c>
      <c r="H28" s="131" t="n">
        <v>2.88051</v>
      </c>
      <c r="I28" s="132" t="s">
        <v>59</v>
      </c>
      <c r="J28" s="133" t="n">
        <v>3450</v>
      </c>
      <c r="K28" s="133" t="n">
        <v>9937.7595</v>
      </c>
      <c r="O28" s="119"/>
      <c r="BE28" s="135"/>
    </row>
    <row r="29" s="134" customFormat="true" ht="33" hidden="false" customHeight="true" outlineLevel="0" collapsed="false">
      <c r="A29" s="127" t="n">
        <v>25</v>
      </c>
      <c r="B29" s="128" t="s">
        <v>57</v>
      </c>
      <c r="C29" s="128" t="s">
        <v>38</v>
      </c>
      <c r="D29" s="128" t="s">
        <v>69</v>
      </c>
      <c r="E29" s="129" t="s">
        <v>44</v>
      </c>
      <c r="F29" s="130" t="n">
        <v>109.795</v>
      </c>
      <c r="G29" s="140" t="n">
        <v>2</v>
      </c>
      <c r="H29" s="131" t="n">
        <v>0.21959</v>
      </c>
      <c r="I29" s="132" t="s">
        <v>59</v>
      </c>
      <c r="J29" s="133" t="n">
        <v>3375</v>
      </c>
      <c r="K29" s="133" t="n">
        <v>741.11625</v>
      </c>
      <c r="O29" s="119"/>
      <c r="BE29" s="135"/>
    </row>
    <row r="30" s="134" customFormat="true" ht="33" hidden="false" customHeight="true" outlineLevel="0" collapsed="false">
      <c r="A30" s="127" t="n">
        <v>26</v>
      </c>
      <c r="B30" s="128" t="s">
        <v>70</v>
      </c>
      <c r="C30" s="128" t="s">
        <v>38</v>
      </c>
      <c r="D30" s="128" t="s">
        <v>69</v>
      </c>
      <c r="E30" s="129" t="s">
        <v>44</v>
      </c>
      <c r="F30" s="130" t="n">
        <v>179.215</v>
      </c>
      <c r="G30" s="140" t="n">
        <v>4</v>
      </c>
      <c r="H30" s="131" t="n">
        <v>0.71686</v>
      </c>
      <c r="I30" s="132" t="s">
        <v>59</v>
      </c>
      <c r="J30" s="133" t="n">
        <v>2800</v>
      </c>
      <c r="K30" s="133" t="n">
        <v>2007.208</v>
      </c>
      <c r="O30" s="119"/>
      <c r="BE30" s="135"/>
    </row>
    <row r="31" s="134" customFormat="true" ht="33" hidden="false" customHeight="true" outlineLevel="0" collapsed="false">
      <c r="A31" s="127" t="n">
        <v>27</v>
      </c>
      <c r="B31" s="128" t="s">
        <v>81</v>
      </c>
      <c r="C31" s="128" t="s">
        <v>38</v>
      </c>
      <c r="D31" s="128" t="s">
        <v>72</v>
      </c>
      <c r="E31" s="129" t="s">
        <v>44</v>
      </c>
      <c r="F31" s="130" t="n">
        <v>906.44</v>
      </c>
      <c r="G31" s="140" t="n">
        <v>1</v>
      </c>
      <c r="H31" s="131" t="n">
        <v>0.90644</v>
      </c>
      <c r="I31" s="132" t="s">
        <v>59</v>
      </c>
      <c r="J31" s="133" t="n">
        <v>2150</v>
      </c>
      <c r="K31" s="133" t="n">
        <v>1948.846</v>
      </c>
      <c r="O31" s="119"/>
      <c r="BE31" s="135"/>
    </row>
    <row r="32" s="134" customFormat="true" ht="33" hidden="false" customHeight="true" outlineLevel="0" collapsed="false">
      <c r="A32" s="127" t="n">
        <v>28</v>
      </c>
      <c r="B32" s="128" t="s">
        <v>65</v>
      </c>
      <c r="C32" s="128" t="s">
        <v>38</v>
      </c>
      <c r="D32" s="128" t="s">
        <v>72</v>
      </c>
      <c r="E32" s="129" t="s">
        <v>44</v>
      </c>
      <c r="F32" s="130" t="n">
        <v>49.4118181818182</v>
      </c>
      <c r="G32" s="140" t="n">
        <v>22</v>
      </c>
      <c r="H32" s="131" t="n">
        <v>1.08706</v>
      </c>
      <c r="I32" s="132" t="s">
        <v>59</v>
      </c>
      <c r="J32" s="133" t="n">
        <v>4900</v>
      </c>
      <c r="K32" s="133" t="n">
        <v>5326.594</v>
      </c>
      <c r="O32" s="119"/>
      <c r="BE32" s="135"/>
    </row>
    <row r="33" s="134" customFormat="true" ht="33" hidden="false" customHeight="true" outlineLevel="0" collapsed="false">
      <c r="A33" s="127" t="n">
        <v>29</v>
      </c>
      <c r="B33" s="128" t="s">
        <v>73</v>
      </c>
      <c r="C33" s="128" t="s">
        <v>38</v>
      </c>
      <c r="D33" s="128" t="s">
        <v>72</v>
      </c>
      <c r="E33" s="129" t="s">
        <v>44</v>
      </c>
      <c r="F33" s="130" t="n">
        <v>440.978181818182</v>
      </c>
      <c r="G33" s="140" t="n">
        <v>11</v>
      </c>
      <c r="H33" s="131" t="n">
        <v>4.85076</v>
      </c>
      <c r="I33" s="132" t="s">
        <v>59</v>
      </c>
      <c r="J33" s="133" t="n">
        <v>1625</v>
      </c>
      <c r="K33" s="133" t="n">
        <v>7882.485</v>
      </c>
      <c r="O33" s="119"/>
      <c r="BE33" s="135"/>
    </row>
    <row r="34" s="134" customFormat="true" ht="33" hidden="false" customHeight="true" outlineLevel="0" collapsed="false">
      <c r="A34" s="127" t="n">
        <v>30</v>
      </c>
      <c r="B34" s="128" t="s">
        <v>82</v>
      </c>
      <c r="C34" s="128" t="s">
        <v>38</v>
      </c>
      <c r="D34" s="128" t="s">
        <v>72</v>
      </c>
      <c r="E34" s="129" t="s">
        <v>44</v>
      </c>
      <c r="F34" s="130" t="n">
        <v>1192.834</v>
      </c>
      <c r="G34" s="140" t="n">
        <v>10</v>
      </c>
      <c r="H34" s="131" t="n">
        <v>11.92834</v>
      </c>
      <c r="I34" s="132" t="s">
        <v>59</v>
      </c>
      <c r="J34" s="133" t="n">
        <v>1575</v>
      </c>
      <c r="K34" s="133" t="n">
        <v>18787.1355</v>
      </c>
      <c r="O34" s="119"/>
      <c r="BE34" s="135"/>
    </row>
    <row r="35" s="134" customFormat="true" ht="33" hidden="false" customHeight="true" outlineLevel="0" collapsed="false">
      <c r="A35" s="127" t="n">
        <v>31</v>
      </c>
      <c r="B35" s="128" t="s">
        <v>77</v>
      </c>
      <c r="C35" s="128" t="s">
        <v>38</v>
      </c>
      <c r="D35" s="128" t="s">
        <v>83</v>
      </c>
      <c r="E35" s="129" t="s">
        <v>44</v>
      </c>
      <c r="F35" s="130" t="n">
        <v>53.3175</v>
      </c>
      <c r="G35" s="140" t="n">
        <v>4</v>
      </c>
      <c r="H35" s="131" t="n">
        <v>0.21327</v>
      </c>
      <c r="I35" s="132" t="s">
        <v>59</v>
      </c>
      <c r="J35" s="133" t="n">
        <v>3350</v>
      </c>
      <c r="K35" s="133" t="n">
        <v>714.4545</v>
      </c>
      <c r="O35" s="119"/>
      <c r="BE35" s="135"/>
    </row>
    <row r="36" s="134" customFormat="true" ht="33" hidden="false" customHeight="true" outlineLevel="0" collapsed="false">
      <c r="A36" s="127" t="n">
        <v>32</v>
      </c>
      <c r="B36" s="128" t="s">
        <v>71</v>
      </c>
      <c r="C36" s="128" t="s">
        <v>38</v>
      </c>
      <c r="D36" s="128" t="s">
        <v>83</v>
      </c>
      <c r="E36" s="129" t="s">
        <v>44</v>
      </c>
      <c r="F36" s="130" t="n">
        <v>229.80875</v>
      </c>
      <c r="G36" s="140" t="n">
        <v>24</v>
      </c>
      <c r="H36" s="131" t="n">
        <v>5.51541</v>
      </c>
      <c r="I36" s="132" t="s">
        <v>59</v>
      </c>
      <c r="J36" s="133" t="n">
        <v>1875</v>
      </c>
      <c r="K36" s="133" t="n">
        <v>10341.39375</v>
      </c>
      <c r="O36" s="119"/>
      <c r="BE36" s="135"/>
    </row>
    <row r="37" s="134" customFormat="true" ht="33" hidden="false" customHeight="true" outlineLevel="0" collapsed="false">
      <c r="A37" s="127" t="n">
        <v>33</v>
      </c>
      <c r="B37" s="128" t="s">
        <v>84</v>
      </c>
      <c r="C37" s="128" t="s">
        <v>38</v>
      </c>
      <c r="D37" s="128"/>
      <c r="E37" s="129" t="s">
        <v>39</v>
      </c>
      <c r="F37" s="130"/>
      <c r="G37" s="140"/>
      <c r="H37" s="131" t="n">
        <v>3</v>
      </c>
      <c r="I37" s="132" t="s">
        <v>59</v>
      </c>
      <c r="J37" s="133" t="n">
        <v>1650</v>
      </c>
      <c r="K37" s="133" t="n">
        <f aca="false">Table18[[#This Row],[Rate ]]*Table18[[#This Row],[QTY]]</f>
        <v>4950</v>
      </c>
      <c r="O37" s="119"/>
      <c r="BE37" s="135"/>
    </row>
    <row r="38" s="134" customFormat="true" ht="33" hidden="false" customHeight="true" outlineLevel="0" collapsed="false">
      <c r="A38" s="127" t="n">
        <v>34</v>
      </c>
      <c r="B38" s="128" t="s">
        <v>84</v>
      </c>
      <c r="C38" s="128" t="s">
        <v>38</v>
      </c>
      <c r="D38" s="128"/>
      <c r="E38" s="129" t="s">
        <v>44</v>
      </c>
      <c r="F38" s="130"/>
      <c r="G38" s="140"/>
      <c r="H38" s="131" t="n">
        <v>6</v>
      </c>
      <c r="I38" s="132" t="s">
        <v>59</v>
      </c>
      <c r="J38" s="133" t="n">
        <v>1650</v>
      </c>
      <c r="K38" s="133" t="n">
        <f aca="false">Table18[[#This Row],[Rate ]]*Table18[[#This Row],[QTY]]</f>
        <v>9900</v>
      </c>
      <c r="O38" s="119"/>
      <c r="BE38" s="135"/>
    </row>
    <row r="39" s="134" customFormat="true" ht="33" hidden="false" customHeight="true" outlineLevel="0" collapsed="false">
      <c r="A39" s="127"/>
      <c r="B39" s="136" t="s">
        <v>85</v>
      </c>
      <c r="C39" s="128"/>
      <c r="D39" s="128"/>
      <c r="E39" s="129"/>
      <c r="F39" s="130"/>
      <c r="G39" s="140"/>
      <c r="H39" s="131"/>
      <c r="I39" s="132"/>
      <c r="J39" s="133"/>
      <c r="K39" s="133"/>
      <c r="O39" s="119"/>
      <c r="BE39" s="135"/>
    </row>
    <row r="40" s="134" customFormat="true" ht="33" hidden="false" customHeight="true" outlineLevel="0" collapsed="false">
      <c r="A40" s="127" t="n">
        <v>35</v>
      </c>
      <c r="B40" s="128" t="s">
        <v>86</v>
      </c>
      <c r="C40" s="128" t="s">
        <v>42</v>
      </c>
      <c r="D40" s="128" t="s">
        <v>76</v>
      </c>
      <c r="E40" s="129" t="s">
        <v>39</v>
      </c>
      <c r="F40" s="130"/>
      <c r="G40" s="140"/>
      <c r="H40" s="131" t="n">
        <v>820</v>
      </c>
      <c r="I40" s="132" t="s">
        <v>43</v>
      </c>
      <c r="J40" s="133" t="n">
        <v>15.25</v>
      </c>
      <c r="K40" s="133" t="n">
        <v>12505</v>
      </c>
      <c r="O40" s="119"/>
      <c r="BE40" s="135"/>
    </row>
    <row r="41" s="134" customFormat="true" ht="33" hidden="false" customHeight="true" outlineLevel="0" collapsed="false">
      <c r="A41" s="127" t="n">
        <v>36</v>
      </c>
      <c r="B41" s="128" t="s">
        <v>87</v>
      </c>
      <c r="C41" s="128" t="s">
        <v>42</v>
      </c>
      <c r="D41" s="128" t="s">
        <v>76</v>
      </c>
      <c r="E41" s="129" t="s">
        <v>39</v>
      </c>
      <c r="F41" s="130"/>
      <c r="G41" s="140"/>
      <c r="H41" s="131" t="n">
        <v>440</v>
      </c>
      <c r="I41" s="132" t="s">
        <v>43</v>
      </c>
      <c r="J41" s="133" t="n">
        <v>15.5</v>
      </c>
      <c r="K41" s="133" t="n">
        <v>6820</v>
      </c>
      <c r="O41" s="119"/>
      <c r="BE41" s="135"/>
    </row>
    <row r="42" s="134" customFormat="true" ht="33" hidden="false" customHeight="true" outlineLevel="0" collapsed="false">
      <c r="A42" s="127" t="n">
        <v>37</v>
      </c>
      <c r="B42" s="128" t="s">
        <v>88</v>
      </c>
      <c r="C42" s="128" t="s">
        <v>42</v>
      </c>
      <c r="D42" s="128" t="s">
        <v>76</v>
      </c>
      <c r="E42" s="129" t="s">
        <v>44</v>
      </c>
      <c r="F42" s="130"/>
      <c r="G42" s="140"/>
      <c r="H42" s="131" t="n">
        <v>320</v>
      </c>
      <c r="I42" s="132" t="s">
        <v>43</v>
      </c>
      <c r="J42" s="133" t="n">
        <v>20.5</v>
      </c>
      <c r="K42" s="133" t="n">
        <v>6560</v>
      </c>
      <c r="O42" s="119"/>
      <c r="BE42" s="135"/>
    </row>
    <row r="43" s="134" customFormat="true" ht="33" hidden="false" customHeight="true" outlineLevel="0" collapsed="false">
      <c r="A43" s="127" t="n">
        <v>38</v>
      </c>
      <c r="B43" s="128" t="s">
        <v>89</v>
      </c>
      <c r="C43" s="128" t="s">
        <v>42</v>
      </c>
      <c r="D43" s="128" t="s">
        <v>76</v>
      </c>
      <c r="E43" s="129" t="s">
        <v>44</v>
      </c>
      <c r="F43" s="130"/>
      <c r="G43" s="140"/>
      <c r="H43" s="131" t="n">
        <v>1080</v>
      </c>
      <c r="I43" s="132" t="s">
        <v>43</v>
      </c>
      <c r="J43" s="133" t="n">
        <v>16.75</v>
      </c>
      <c r="K43" s="133" t="n">
        <v>18090</v>
      </c>
      <c r="O43" s="119"/>
      <c r="BE43" s="135"/>
    </row>
    <row r="44" s="134" customFormat="true" ht="33" hidden="false" customHeight="true" outlineLevel="0" collapsed="false">
      <c r="A44" s="127" t="n">
        <v>39</v>
      </c>
      <c r="B44" s="128" t="s">
        <v>87</v>
      </c>
      <c r="C44" s="128" t="s">
        <v>42</v>
      </c>
      <c r="D44" s="128" t="s">
        <v>76</v>
      </c>
      <c r="E44" s="129" t="s">
        <v>44</v>
      </c>
      <c r="F44" s="130"/>
      <c r="G44" s="140"/>
      <c r="H44" s="131" t="n">
        <v>1160</v>
      </c>
      <c r="I44" s="132" t="s">
        <v>43</v>
      </c>
      <c r="J44" s="133" t="n">
        <v>15.5</v>
      </c>
      <c r="K44" s="133" t="n">
        <v>17980</v>
      </c>
      <c r="O44" s="119"/>
      <c r="BE44" s="135"/>
    </row>
    <row r="45" s="163" customFormat="true" ht="33" hidden="false" customHeight="true" outlineLevel="0" collapsed="false">
      <c r="A45" s="155"/>
      <c r="B45" s="156"/>
      <c r="C45" s="156"/>
      <c r="D45" s="156"/>
      <c r="E45" s="157"/>
      <c r="F45" s="158"/>
      <c r="G45" s="159"/>
      <c r="H45" s="160"/>
      <c r="I45" s="161"/>
      <c r="J45" s="162" t="s">
        <v>90</v>
      </c>
      <c r="K45" s="162" t="n">
        <v>255083.791</v>
      </c>
      <c r="O45" s="164"/>
      <c r="BE45" s="16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tabColor rgb="FFBFBFBF"/>
    <pageSetUpPr fitToPage="true"/>
  </sheetPr>
  <dimension ref="B1:N89"/>
  <sheetViews>
    <sheetView showFormulas="false" showGridLines="false" showRowColHeaders="true" showZeros="true" rightToLeft="false" tabSelected="false" showOutlineSymbols="true" defaultGridColor="true" view="pageBreakPreview" topLeftCell="A1" colorId="64" zoomScale="30" zoomScaleNormal="40" zoomScalePageLayoutView="30" workbookViewId="0">
      <selection pane="topLeft" activeCell="F16" activeCellId="0" sqref="F16"/>
    </sheetView>
  </sheetViews>
  <sheetFormatPr defaultColWidth="8.82421875" defaultRowHeight="11.5" zeroHeight="false" outlineLevelRow="0" outlineLevelCol="0"/>
  <cols>
    <col collapsed="false" customWidth="true" hidden="false" outlineLevel="0" max="1" min="1" style="166" width="6"/>
    <col collapsed="false" customWidth="true" hidden="false" outlineLevel="0" max="2" min="2" style="167" width="21.55"/>
    <col collapsed="false" customWidth="true" hidden="false" outlineLevel="0" max="3" min="3" style="168" width="21.55"/>
    <col collapsed="false" customWidth="true" hidden="false" outlineLevel="0" max="4" min="4" style="166" width="184.81"/>
    <col collapsed="false" customWidth="true" hidden="false" outlineLevel="0" max="5" min="5" style="169" width="36.54"/>
    <col collapsed="false" customWidth="true" hidden="false" outlineLevel="0" max="8" min="6" style="170" width="32"/>
    <col collapsed="false" customWidth="true" hidden="false" outlineLevel="0" max="9" min="9" style="170" width="28.81"/>
    <col collapsed="false" customWidth="true" hidden="false" outlineLevel="0" max="10" min="10" style="169" width="39"/>
    <col collapsed="false" customWidth="true" hidden="false" outlineLevel="0" max="11" min="11" style="171" width="69.46"/>
    <col collapsed="false" customWidth="true" hidden="false" outlineLevel="0" max="12" min="12" style="172" width="38.82"/>
    <col collapsed="false" customWidth="true" hidden="false" outlineLevel="0" max="13" min="13" style="173" width="33.73"/>
    <col collapsed="false" customWidth="true" hidden="false" outlineLevel="0" max="14" min="14" style="173" width="42.27"/>
    <col collapsed="false" customWidth="true" hidden="false" outlineLevel="0" max="15" min="15" style="166" width="36.18"/>
    <col collapsed="false" customWidth="false" hidden="false" outlineLevel="0" max="33" min="16" style="166" width="8.82"/>
    <col collapsed="false" customWidth="true" hidden="false" outlineLevel="0" max="34" min="34" style="166" width="19.82"/>
    <col collapsed="false" customWidth="true" hidden="false" outlineLevel="0" max="35" min="35" style="166" width="9.45"/>
    <col collapsed="false" customWidth="false" hidden="false" outlineLevel="0" max="1024" min="36" style="166" width="8.82"/>
  </cols>
  <sheetData>
    <row r="1" customFormat="false" ht="15.65" hidden="false" customHeight="true" outlineLevel="0" collapsed="false"/>
    <row r="2" customFormat="false" ht="48.65" hidden="false" customHeight="true" outlineLevel="0" collapsed="false">
      <c r="I2" s="174" t="s">
        <v>6</v>
      </c>
      <c r="J2" s="174"/>
      <c r="K2" s="174" t="str">
        <f aca="false">'AFP Summary'!H8</f>
        <v>Doncaster Unit 02 &amp; 03</v>
      </c>
      <c r="L2" s="175"/>
    </row>
    <row r="3" customFormat="false" ht="48.65" hidden="false" customHeight="true" outlineLevel="0" collapsed="false">
      <c r="I3" s="176" t="s">
        <v>5</v>
      </c>
      <c r="J3" s="177"/>
      <c r="K3" s="178" t="str">
        <f aca="false">'AFP Summary'!B9</f>
        <v>Fit Out (UK) Ltd</v>
      </c>
      <c r="L3" s="179"/>
    </row>
    <row r="4" customFormat="false" ht="48.65" hidden="false" customHeight="true" outlineLevel="0" collapsed="false">
      <c r="E4" s="169" t="s">
        <v>25</v>
      </c>
      <c r="I4" s="176" t="s">
        <v>91</v>
      </c>
      <c r="J4" s="180"/>
      <c r="K4" s="181" t="n">
        <f aca="false">SUM(Table14[Value £])</f>
        <v>5000</v>
      </c>
      <c r="L4" s="179"/>
    </row>
    <row r="5" customFormat="false" ht="48.65" hidden="false" customHeight="true" outlineLevel="0" collapsed="false">
      <c r="C5" s="182"/>
      <c r="I5" s="176" t="s">
        <v>92</v>
      </c>
      <c r="J5" s="180"/>
      <c r="K5" s="181" t="n">
        <f aca="false">SUMIF(Table14[Status],"Agreed",Table14[Value £])</f>
        <v>0</v>
      </c>
      <c r="L5" s="179"/>
    </row>
    <row r="6" customFormat="false" ht="48.65" hidden="false" customHeight="true" outlineLevel="0" collapsed="false">
      <c r="C6" s="183" t="s">
        <v>93</v>
      </c>
      <c r="I6" s="176" t="s">
        <v>94</v>
      </c>
      <c r="J6" s="180"/>
      <c r="K6" s="181" t="n">
        <f aca="false">K4-K5</f>
        <v>5000</v>
      </c>
      <c r="L6" s="179"/>
    </row>
    <row r="7" customFormat="false" ht="48.65" hidden="false" customHeight="true" outlineLevel="0" collapsed="false">
      <c r="C7" s="183"/>
      <c r="I7" s="176" t="s">
        <v>95</v>
      </c>
      <c r="J7" s="180"/>
      <c r="K7" s="181" t="n">
        <f aca="false">SUM(M14:M91)</f>
        <v>0</v>
      </c>
      <c r="L7" s="179"/>
    </row>
    <row r="8" customFormat="false" ht="48.65" hidden="false" customHeight="true" outlineLevel="0" collapsed="false">
      <c r="C8" s="184" t="s">
        <v>1</v>
      </c>
      <c r="D8" s="185"/>
      <c r="I8" s="176" t="s">
        <v>96</v>
      </c>
      <c r="J8" s="180"/>
      <c r="K8" s="186" t="n">
        <f aca="false">IFERROR(K5/K4,"")</f>
        <v>0</v>
      </c>
      <c r="L8" s="179"/>
    </row>
    <row r="9" s="187" customFormat="true" ht="48.65" hidden="false" customHeight="true" outlineLevel="0" collapsed="false">
      <c r="B9" s="188"/>
      <c r="C9" s="189" t="s">
        <v>2</v>
      </c>
      <c r="D9" s="185"/>
      <c r="E9" s="190"/>
      <c r="F9" s="191"/>
      <c r="G9" s="191"/>
      <c r="H9" s="191"/>
      <c r="I9" s="176" t="s">
        <v>97</v>
      </c>
      <c r="J9" s="180"/>
      <c r="K9" s="192" t="n">
        <f aca="false">COUNT(Table14[[ VO]])</f>
        <v>2</v>
      </c>
      <c r="L9" s="179"/>
      <c r="M9" s="193"/>
      <c r="N9" s="193"/>
    </row>
    <row r="10" s="187" customFormat="true" ht="48.65" hidden="false" customHeight="true" outlineLevel="0" collapsed="false">
      <c r="B10" s="188"/>
      <c r="C10" s="194" t="s">
        <v>3</v>
      </c>
      <c r="D10" s="194"/>
      <c r="E10" s="190"/>
      <c r="F10" s="191"/>
      <c r="G10" s="191"/>
      <c r="H10" s="191"/>
      <c r="I10" s="176" t="s">
        <v>98</v>
      </c>
      <c r="J10" s="195"/>
      <c r="K10" s="192" t="n">
        <f aca="false">COUNTIF(Table14[Status],"Agreed")</f>
        <v>1</v>
      </c>
      <c r="L10" s="179"/>
      <c r="M10" s="193"/>
      <c r="N10" s="193"/>
    </row>
    <row r="11" s="187" customFormat="true" ht="48.65" hidden="false" customHeight="true" outlineLevel="0" collapsed="false">
      <c r="C11" s="189" t="s">
        <v>4</v>
      </c>
      <c r="D11" s="185"/>
      <c r="E11" s="190"/>
      <c r="F11" s="191"/>
      <c r="G11" s="191"/>
      <c r="H11" s="191"/>
      <c r="I11" s="196" t="s">
        <v>99</v>
      </c>
      <c r="J11" s="197"/>
      <c r="K11" s="198" t="n">
        <f aca="false">COUNTIF(Table14[Value £],"tbc")</f>
        <v>1</v>
      </c>
      <c r="L11" s="179"/>
      <c r="M11" s="193"/>
      <c r="N11" s="193"/>
    </row>
    <row r="12" customFormat="false" ht="20.15" hidden="false" customHeight="true" outlineLevel="0" collapsed="false"/>
    <row r="13" s="199" customFormat="true" ht="87.75" hidden="false" customHeight="true" outlineLevel="0" collapsed="false">
      <c r="B13" s="200" t="s">
        <v>100</v>
      </c>
      <c r="C13" s="200" t="s">
        <v>101</v>
      </c>
      <c r="D13" s="200" t="s">
        <v>102</v>
      </c>
      <c r="E13" s="201" t="s">
        <v>103</v>
      </c>
      <c r="F13" s="202" t="s">
        <v>104</v>
      </c>
      <c r="G13" s="202" t="s">
        <v>105</v>
      </c>
      <c r="H13" s="202" t="s">
        <v>106</v>
      </c>
      <c r="I13" s="202" t="s">
        <v>107</v>
      </c>
      <c r="J13" s="201" t="s">
        <v>108</v>
      </c>
      <c r="K13" s="200" t="s">
        <v>37</v>
      </c>
      <c r="L13" s="203" t="s">
        <v>35</v>
      </c>
      <c r="M13" s="202" t="s">
        <v>36</v>
      </c>
      <c r="N13" s="202" t="s">
        <v>109</v>
      </c>
    </row>
    <row r="14" s="204" customFormat="true" ht="65.15" hidden="false" customHeight="true" outlineLevel="0" collapsed="false">
      <c r="B14" s="205"/>
      <c r="C14" s="206" t="n">
        <v>1</v>
      </c>
      <c r="D14" s="207" t="s">
        <v>110</v>
      </c>
      <c r="E14" s="208" t="n">
        <v>45512</v>
      </c>
      <c r="F14" s="209" t="n">
        <v>0</v>
      </c>
      <c r="G14" s="209"/>
      <c r="H14" s="209"/>
      <c r="I14" s="210" t="s">
        <v>111</v>
      </c>
      <c r="J14" s="211" t="n">
        <v>45523</v>
      </c>
      <c r="K14" s="212"/>
      <c r="L14" s="213" t="n">
        <v>1</v>
      </c>
      <c r="M14" s="210" t="n">
        <f aca="false">IF(Table14[[#This Row],[Progress %]]="","",Table14[[#This Row],[Progress %]]*Table14[[#This Row],[Value £]])</f>
        <v>0</v>
      </c>
      <c r="N14" s="214" t="s">
        <v>112</v>
      </c>
    </row>
    <row r="15" s="204" customFormat="true" ht="65.15" hidden="false" customHeight="true" outlineLevel="0" collapsed="false">
      <c r="B15" s="215"/>
      <c r="C15" s="206" t="n">
        <v>2</v>
      </c>
      <c r="D15" s="216" t="s">
        <v>113</v>
      </c>
      <c r="E15" s="208"/>
      <c r="F15" s="209" t="s">
        <v>114</v>
      </c>
      <c r="G15" s="209"/>
      <c r="H15" s="209"/>
      <c r="I15" s="217" t="s">
        <v>94</v>
      </c>
      <c r="J15" s="218"/>
      <c r="K15" s="214"/>
      <c r="L15" s="219"/>
      <c r="M15" s="210" t="str">
        <f aca="false">IF(Table14[[#This Row],[Progress %]]="","",Table14[[#This Row],[Progress %]]*Table14[[#This Row],[Value £]])</f>
        <v/>
      </c>
      <c r="N15" s="220"/>
    </row>
    <row r="16" s="204" customFormat="true" ht="65.15" hidden="false" customHeight="true" outlineLevel="0" collapsed="false">
      <c r="B16" s="205"/>
      <c r="C16" s="206"/>
      <c r="D16" s="207" t="s">
        <v>115</v>
      </c>
      <c r="E16" s="208"/>
      <c r="F16" s="209" t="n">
        <v>5000</v>
      </c>
      <c r="G16" s="209"/>
      <c r="H16" s="209"/>
      <c r="I16" s="210"/>
      <c r="J16" s="211"/>
      <c r="K16" s="212"/>
      <c r="L16" s="213"/>
      <c r="M16" s="210"/>
      <c r="N16" s="214"/>
    </row>
    <row r="17" s="204" customFormat="true" ht="65.15" hidden="false" customHeight="true" outlineLevel="0" collapsed="false">
      <c r="B17" s="205"/>
      <c r="C17" s="206"/>
      <c r="D17" s="207"/>
      <c r="E17" s="208"/>
      <c r="F17" s="209"/>
      <c r="G17" s="209"/>
      <c r="H17" s="209"/>
      <c r="I17" s="210"/>
      <c r="J17" s="211"/>
      <c r="K17" s="212"/>
      <c r="L17" s="213"/>
      <c r="M17" s="210"/>
      <c r="N17" s="214"/>
    </row>
    <row r="18" s="204" customFormat="true" ht="65.15" hidden="false" customHeight="true" outlineLevel="0" collapsed="false">
      <c r="B18" s="205"/>
      <c r="C18" s="206"/>
      <c r="D18" s="207"/>
      <c r="E18" s="208"/>
      <c r="F18" s="209"/>
      <c r="G18" s="209"/>
      <c r="H18" s="209"/>
      <c r="I18" s="210"/>
      <c r="J18" s="211"/>
      <c r="K18" s="214"/>
      <c r="L18" s="213"/>
      <c r="M18" s="210"/>
      <c r="N18" s="214"/>
    </row>
    <row r="19" s="204" customFormat="true" ht="65.15" hidden="false" customHeight="true" outlineLevel="0" collapsed="false">
      <c r="B19" s="205"/>
      <c r="C19" s="206"/>
      <c r="D19" s="221"/>
      <c r="E19" s="208"/>
      <c r="F19" s="209"/>
      <c r="G19" s="209"/>
      <c r="H19" s="209"/>
      <c r="I19" s="210"/>
      <c r="J19" s="211"/>
      <c r="K19" s="222"/>
      <c r="L19" s="223"/>
      <c r="M19" s="224"/>
      <c r="N19" s="214"/>
    </row>
    <row r="20" s="225" customFormat="true" ht="65.15" hidden="false" customHeight="true" outlineLevel="0" collapsed="false">
      <c r="B20" s="205"/>
      <c r="C20" s="206"/>
      <c r="D20" s="216"/>
      <c r="E20" s="208"/>
      <c r="F20" s="209"/>
      <c r="G20" s="209"/>
      <c r="H20" s="209"/>
      <c r="I20" s="210"/>
      <c r="J20" s="211"/>
      <c r="K20" s="212"/>
      <c r="L20" s="213"/>
      <c r="M20" s="210"/>
      <c r="N20" s="214"/>
    </row>
    <row r="21" s="225" customFormat="true" ht="65.15" hidden="false" customHeight="true" outlineLevel="0" collapsed="false">
      <c r="B21" s="205"/>
      <c r="C21" s="206"/>
      <c r="D21" s="207"/>
      <c r="E21" s="208"/>
      <c r="F21" s="209"/>
      <c r="G21" s="209"/>
      <c r="H21" s="209"/>
      <c r="I21" s="210"/>
      <c r="J21" s="211"/>
      <c r="K21" s="212"/>
      <c r="L21" s="213"/>
      <c r="M21" s="210"/>
      <c r="N21" s="214"/>
    </row>
    <row r="22" s="225" customFormat="true" ht="65.15" hidden="false" customHeight="true" outlineLevel="0" collapsed="false">
      <c r="B22" s="205"/>
      <c r="C22" s="206"/>
      <c r="D22" s="207"/>
      <c r="E22" s="208"/>
      <c r="F22" s="209"/>
      <c r="G22" s="209"/>
      <c r="H22" s="209"/>
      <c r="I22" s="210"/>
      <c r="J22" s="211"/>
      <c r="K22" s="212"/>
      <c r="L22" s="213"/>
      <c r="M22" s="210"/>
      <c r="N22" s="214"/>
    </row>
    <row r="23" s="225" customFormat="true" ht="65.15" hidden="false" customHeight="true" outlineLevel="0" collapsed="false">
      <c r="B23" s="205"/>
      <c r="C23" s="206" t="str">
        <f aca="false">IF(Table14[[#This Row],[Description]]="","",C22+1)</f>
        <v/>
      </c>
      <c r="D23" s="207"/>
      <c r="E23" s="208"/>
      <c r="F23" s="209"/>
      <c r="G23" s="209"/>
      <c r="H23" s="209"/>
      <c r="I23" s="210"/>
      <c r="J23" s="211"/>
      <c r="K23" s="212"/>
      <c r="L23" s="213"/>
      <c r="M23" s="210" t="str">
        <f aca="false">IF(Table14[[#This Row],[Progress %]]="","",Table14[[#This Row],[Progress %]]*Table14[[#This Row],[Value £]])</f>
        <v/>
      </c>
      <c r="N23" s="214"/>
    </row>
    <row r="24" s="225" customFormat="true" ht="65.15" hidden="false" customHeight="true" outlineLevel="0" collapsed="false">
      <c r="B24" s="205"/>
      <c r="C24" s="206" t="str">
        <f aca="false">IF(Table14[[#This Row],[Description]]="","",C23+1)</f>
        <v/>
      </c>
      <c r="D24" s="207"/>
      <c r="E24" s="208"/>
      <c r="F24" s="209"/>
      <c r="G24" s="209"/>
      <c r="H24" s="209"/>
      <c r="I24" s="210"/>
      <c r="J24" s="211"/>
      <c r="K24" s="212"/>
      <c r="L24" s="213"/>
      <c r="M24" s="210" t="str">
        <f aca="false">IF(Table14[[#This Row],[Progress %]]="","",Table14[[#This Row],[Progress %]]*Table14[[#This Row],[Value £]])</f>
        <v/>
      </c>
      <c r="N24" s="214"/>
    </row>
    <row r="25" s="225" customFormat="true" ht="65.15" hidden="false" customHeight="true" outlineLevel="0" collapsed="false">
      <c r="B25" s="205"/>
      <c r="C25" s="206" t="str">
        <f aca="false">IF(Table14[[#This Row],[Description]]="","",C24+1)</f>
        <v/>
      </c>
      <c r="D25" s="207"/>
      <c r="E25" s="208"/>
      <c r="F25" s="209"/>
      <c r="G25" s="209"/>
      <c r="H25" s="209"/>
      <c r="I25" s="210"/>
      <c r="J25" s="211"/>
      <c r="K25" s="212"/>
      <c r="L25" s="213"/>
      <c r="M25" s="210" t="str">
        <f aca="false">IF(Table14[[#This Row],[Progress %]]="","",Table14[[#This Row],[Progress %]]*Table14[[#This Row],[Value £]])</f>
        <v/>
      </c>
      <c r="N25" s="214"/>
    </row>
    <row r="26" s="225" customFormat="true" ht="65.15" hidden="false" customHeight="true" outlineLevel="0" collapsed="false">
      <c r="B26" s="205"/>
      <c r="C26" s="206" t="str">
        <f aca="false">IF(Table14[[#This Row],[Description]]="","",C25+1)</f>
        <v/>
      </c>
      <c r="D26" s="207"/>
      <c r="E26" s="208"/>
      <c r="F26" s="209"/>
      <c r="G26" s="209"/>
      <c r="H26" s="209"/>
      <c r="I26" s="210"/>
      <c r="J26" s="211"/>
      <c r="K26" s="212"/>
      <c r="L26" s="213"/>
      <c r="M26" s="210" t="str">
        <f aca="false">IF(Table14[[#This Row],[Progress %]]="","",Table14[[#This Row],[Progress %]]*Table14[[#This Row],[Value £]])</f>
        <v/>
      </c>
      <c r="N26" s="214"/>
    </row>
    <row r="27" s="225" customFormat="true" ht="65.15" hidden="false" customHeight="true" outlineLevel="0" collapsed="false">
      <c r="B27" s="205"/>
      <c r="C27" s="206" t="str">
        <f aca="false">IF(Table14[[#This Row],[Description]]="","",C26+1)</f>
        <v/>
      </c>
      <c r="D27" s="207"/>
      <c r="E27" s="208"/>
      <c r="F27" s="209"/>
      <c r="G27" s="209"/>
      <c r="H27" s="209"/>
      <c r="I27" s="210"/>
      <c r="J27" s="211"/>
      <c r="K27" s="212"/>
      <c r="L27" s="213"/>
      <c r="M27" s="210" t="str">
        <f aca="false">IF(Table14[[#This Row],[Progress %]]="","",Table14[[#This Row],[Progress %]]*Table14[[#This Row],[Value £]])</f>
        <v/>
      </c>
      <c r="N27" s="214"/>
    </row>
    <row r="28" s="225" customFormat="true" ht="65.15" hidden="false" customHeight="true" outlineLevel="0" collapsed="false">
      <c r="B28" s="205"/>
      <c r="C28" s="206" t="str">
        <f aca="false">IF(Table14[[#This Row],[Description]]="","",C27+1)</f>
        <v/>
      </c>
      <c r="D28" s="207"/>
      <c r="E28" s="208"/>
      <c r="F28" s="209"/>
      <c r="G28" s="209"/>
      <c r="H28" s="209"/>
      <c r="I28" s="210"/>
      <c r="J28" s="211"/>
      <c r="K28" s="212"/>
      <c r="L28" s="213"/>
      <c r="M28" s="210" t="str">
        <f aca="false">IF(Table14[[#This Row],[Progress %]]="","",Table14[[#This Row],[Progress %]]*Table14[[#This Row],[Value £]])</f>
        <v/>
      </c>
      <c r="N28" s="214"/>
    </row>
    <row r="29" s="225" customFormat="true" ht="65.15" hidden="false" customHeight="true" outlineLevel="0" collapsed="false">
      <c r="B29" s="205"/>
      <c r="C29" s="206" t="str">
        <f aca="false">IF(Table14[[#This Row],[Description]]="","",C28+1)</f>
        <v/>
      </c>
      <c r="D29" s="207"/>
      <c r="E29" s="208"/>
      <c r="F29" s="209"/>
      <c r="G29" s="209"/>
      <c r="H29" s="209"/>
      <c r="I29" s="210"/>
      <c r="J29" s="211"/>
      <c r="K29" s="212"/>
      <c r="L29" s="213"/>
      <c r="M29" s="210" t="str">
        <f aca="false">IF(Table14[[#This Row],[Progress %]]="","",Table14[[#This Row],[Progress %]]*Table14[[#This Row],[Value £]])</f>
        <v/>
      </c>
      <c r="N29" s="214"/>
    </row>
    <row r="30" s="225" customFormat="true" ht="65.15" hidden="false" customHeight="true" outlineLevel="0" collapsed="false">
      <c r="B30" s="205"/>
      <c r="C30" s="206" t="str">
        <f aca="false">IF(Table14[[#This Row],[Description]]="","",C29+1)</f>
        <v/>
      </c>
      <c r="D30" s="207"/>
      <c r="E30" s="208"/>
      <c r="F30" s="209"/>
      <c r="G30" s="209"/>
      <c r="H30" s="209"/>
      <c r="I30" s="210"/>
      <c r="J30" s="211"/>
      <c r="K30" s="212"/>
      <c r="L30" s="213"/>
      <c r="M30" s="210" t="str">
        <f aca="false">IF(Table14[[#This Row],[Progress %]]="","",Table14[[#This Row],[Progress %]]*Table14[[#This Row],[Value £]])</f>
        <v/>
      </c>
      <c r="N30" s="214"/>
    </row>
    <row r="31" s="225" customFormat="true" ht="65.15" hidden="false" customHeight="true" outlineLevel="0" collapsed="false">
      <c r="B31" s="205"/>
      <c r="C31" s="206" t="str">
        <f aca="false">IF(Table14[[#This Row],[Description]]="","",C30+1)</f>
        <v/>
      </c>
      <c r="D31" s="207"/>
      <c r="E31" s="208"/>
      <c r="F31" s="209"/>
      <c r="G31" s="209"/>
      <c r="H31" s="209"/>
      <c r="I31" s="210"/>
      <c r="J31" s="211"/>
      <c r="K31" s="212"/>
      <c r="L31" s="213"/>
      <c r="M31" s="210" t="str">
        <f aca="false">IF(Table14[[#This Row],[Progress %]]="","",Table14[[#This Row],[Progress %]]*Table14[[#This Row],[Value £]])</f>
        <v/>
      </c>
      <c r="N31" s="214"/>
    </row>
    <row r="32" s="225" customFormat="true" ht="65.15" hidden="false" customHeight="true" outlineLevel="0" collapsed="false">
      <c r="B32" s="205"/>
      <c r="C32" s="206" t="str">
        <f aca="false">IF(Table14[[#This Row],[Description]]="","",C31+1)</f>
        <v/>
      </c>
      <c r="D32" s="207"/>
      <c r="E32" s="208"/>
      <c r="F32" s="209"/>
      <c r="G32" s="209"/>
      <c r="H32" s="209"/>
      <c r="I32" s="210"/>
      <c r="J32" s="211"/>
      <c r="K32" s="212"/>
      <c r="L32" s="213"/>
      <c r="M32" s="210" t="str">
        <f aca="false">IF(Table14[[#This Row],[Progress %]]="","",Table14[[#This Row],[Progress %]]*Table14[[#This Row],[Value £]])</f>
        <v/>
      </c>
      <c r="N32" s="214"/>
    </row>
    <row r="33" s="225" customFormat="true" ht="65.15" hidden="false" customHeight="true" outlineLevel="0" collapsed="false">
      <c r="B33" s="205"/>
      <c r="C33" s="206" t="str">
        <f aca="false">IF(Table14[[#This Row],[Description]]="","",C32+1)</f>
        <v/>
      </c>
      <c r="D33" s="207"/>
      <c r="E33" s="208"/>
      <c r="F33" s="209"/>
      <c r="G33" s="209"/>
      <c r="H33" s="209"/>
      <c r="I33" s="210"/>
      <c r="J33" s="211"/>
      <c r="K33" s="212"/>
      <c r="L33" s="213"/>
      <c r="M33" s="210" t="str">
        <f aca="false">IF(Table14[[#This Row],[Progress %]]="","",Table14[[#This Row],[Progress %]]*Table14[[#This Row],[Value £]])</f>
        <v/>
      </c>
      <c r="N33" s="214"/>
    </row>
    <row r="34" s="225" customFormat="true" ht="65.15" hidden="false" customHeight="true" outlineLevel="0" collapsed="false">
      <c r="B34" s="205"/>
      <c r="C34" s="206" t="str">
        <f aca="false">IF(Table14[[#This Row],[Description]]="","",C33+1)</f>
        <v/>
      </c>
      <c r="D34" s="207"/>
      <c r="E34" s="208"/>
      <c r="F34" s="209"/>
      <c r="G34" s="209"/>
      <c r="H34" s="209"/>
      <c r="I34" s="210"/>
      <c r="J34" s="211"/>
      <c r="K34" s="212"/>
      <c r="L34" s="213"/>
      <c r="M34" s="210" t="str">
        <f aca="false">IF(Table14[[#This Row],[Progress %]]="","",Table14[[#This Row],[Progress %]]*Table14[[#This Row],[Value £]])</f>
        <v/>
      </c>
      <c r="N34" s="214"/>
    </row>
    <row r="35" s="225" customFormat="true" ht="65.15" hidden="false" customHeight="true" outlineLevel="0" collapsed="false">
      <c r="B35" s="205"/>
      <c r="C35" s="206" t="str">
        <f aca="false">IF(Table14[[#This Row],[Description]]="","",C34+1)</f>
        <v/>
      </c>
      <c r="D35" s="207"/>
      <c r="E35" s="208"/>
      <c r="F35" s="209"/>
      <c r="G35" s="209"/>
      <c r="H35" s="209"/>
      <c r="I35" s="210"/>
      <c r="J35" s="211"/>
      <c r="K35" s="212"/>
      <c r="L35" s="213"/>
      <c r="M35" s="210" t="str">
        <f aca="false">IF(Table14[[#This Row],[Progress %]]="","",Table14[[#This Row],[Progress %]]*Table14[[#This Row],[Value £]])</f>
        <v/>
      </c>
      <c r="N35" s="214"/>
    </row>
    <row r="36" s="225" customFormat="true" ht="65.15" hidden="false" customHeight="true" outlineLevel="0" collapsed="false">
      <c r="B36" s="205"/>
      <c r="C36" s="206" t="str">
        <f aca="false">IF(Table14[[#This Row],[Description]]="","",C35+1)</f>
        <v/>
      </c>
      <c r="D36" s="207"/>
      <c r="E36" s="208"/>
      <c r="F36" s="209"/>
      <c r="G36" s="209"/>
      <c r="H36" s="209"/>
      <c r="I36" s="210"/>
      <c r="J36" s="211"/>
      <c r="K36" s="212"/>
      <c r="L36" s="213"/>
      <c r="M36" s="210" t="str">
        <f aca="false">IF(Table14[[#This Row],[Progress %]]="","",Table14[[#This Row],[Progress %]]*Table14[[#This Row],[Value £]])</f>
        <v/>
      </c>
      <c r="N36" s="214"/>
    </row>
    <row r="37" s="225" customFormat="true" ht="65.15" hidden="false" customHeight="true" outlineLevel="0" collapsed="false">
      <c r="B37" s="205"/>
      <c r="C37" s="206" t="str">
        <f aca="false">IF(Table14[[#This Row],[Description]]="","",C36+1)</f>
        <v/>
      </c>
      <c r="D37" s="207"/>
      <c r="E37" s="208"/>
      <c r="F37" s="209"/>
      <c r="G37" s="209"/>
      <c r="H37" s="209"/>
      <c r="I37" s="210"/>
      <c r="J37" s="211"/>
      <c r="K37" s="212"/>
      <c r="L37" s="213"/>
      <c r="M37" s="210" t="str">
        <f aca="false">IF(Table14[[#This Row],[Progress %]]="","",Table14[[#This Row],[Progress %]]*Table14[[#This Row],[Value £]])</f>
        <v/>
      </c>
      <c r="N37" s="214"/>
    </row>
    <row r="38" s="225" customFormat="true" ht="65.15" hidden="false" customHeight="true" outlineLevel="0" collapsed="false">
      <c r="B38" s="205"/>
      <c r="C38" s="206" t="str">
        <f aca="false">IF(Table14[[#This Row],[Description]]="","",C37+1)</f>
        <v/>
      </c>
      <c r="D38" s="207"/>
      <c r="E38" s="208"/>
      <c r="F38" s="209"/>
      <c r="G38" s="209"/>
      <c r="H38" s="209"/>
      <c r="I38" s="210"/>
      <c r="J38" s="211"/>
      <c r="K38" s="212"/>
      <c r="L38" s="213"/>
      <c r="M38" s="210" t="str">
        <f aca="false">IF(Table14[[#This Row],[Progress %]]="","",Table14[[#This Row],[Progress %]]*Table14[[#This Row],[Value £]])</f>
        <v/>
      </c>
      <c r="N38" s="214"/>
    </row>
    <row r="39" s="225" customFormat="true" ht="65.15" hidden="false" customHeight="true" outlineLevel="0" collapsed="false">
      <c r="B39" s="205"/>
      <c r="C39" s="206" t="str">
        <f aca="false">IF(Table14[[#This Row],[Description]]="","",C38+1)</f>
        <v/>
      </c>
      <c r="D39" s="207"/>
      <c r="E39" s="208"/>
      <c r="F39" s="209"/>
      <c r="G39" s="209"/>
      <c r="H39" s="209"/>
      <c r="I39" s="210"/>
      <c r="J39" s="211"/>
      <c r="K39" s="212"/>
      <c r="L39" s="213"/>
      <c r="M39" s="210" t="str">
        <f aca="false">IF(Table14[[#This Row],[Progress %]]="","",Table14[[#This Row],[Progress %]]*Table14[[#This Row],[Value £]])</f>
        <v/>
      </c>
      <c r="N39" s="214"/>
    </row>
    <row r="40" s="225" customFormat="true" ht="65.15" hidden="false" customHeight="true" outlineLevel="0" collapsed="false">
      <c r="B40" s="205"/>
      <c r="C40" s="206" t="str">
        <f aca="false">IF(Table14[[#This Row],[Description]]="","",C39+1)</f>
        <v/>
      </c>
      <c r="D40" s="207"/>
      <c r="E40" s="208"/>
      <c r="F40" s="209"/>
      <c r="G40" s="209"/>
      <c r="H40" s="209"/>
      <c r="I40" s="210"/>
      <c r="J40" s="211"/>
      <c r="K40" s="212"/>
      <c r="L40" s="213"/>
      <c r="M40" s="210" t="str">
        <f aca="false">IF(Table14[[#This Row],[Progress %]]="","",Table14[[#This Row],[Progress %]]*Table14[[#This Row],[Value £]])</f>
        <v/>
      </c>
      <c r="N40" s="214"/>
    </row>
    <row r="41" s="225" customFormat="true" ht="65.15" hidden="false" customHeight="true" outlineLevel="0" collapsed="false">
      <c r="B41" s="205"/>
      <c r="C41" s="206" t="str">
        <f aca="false">IF(Table14[[#This Row],[Description]]="","",C40+1)</f>
        <v/>
      </c>
      <c r="D41" s="207"/>
      <c r="E41" s="208"/>
      <c r="F41" s="209"/>
      <c r="G41" s="209"/>
      <c r="H41" s="209"/>
      <c r="I41" s="210"/>
      <c r="J41" s="211"/>
      <c r="K41" s="212"/>
      <c r="L41" s="213"/>
      <c r="M41" s="210" t="str">
        <f aca="false">IF(Table14[[#This Row],[Progress %]]="","",Table14[[#This Row],[Progress %]]*Table14[[#This Row],[Value £]])</f>
        <v/>
      </c>
      <c r="N41" s="214"/>
    </row>
    <row r="42" s="225" customFormat="true" ht="65.15" hidden="false" customHeight="true" outlineLevel="0" collapsed="false">
      <c r="B42" s="205"/>
      <c r="C42" s="206" t="str">
        <f aca="false">IF(Table14[[#This Row],[Description]]="","",C41+1)</f>
        <v/>
      </c>
      <c r="D42" s="207"/>
      <c r="E42" s="208"/>
      <c r="F42" s="209"/>
      <c r="G42" s="209"/>
      <c r="H42" s="209"/>
      <c r="I42" s="210"/>
      <c r="J42" s="211"/>
      <c r="K42" s="212"/>
      <c r="L42" s="213"/>
      <c r="M42" s="210" t="str">
        <f aca="false">IF(Table14[[#This Row],[Progress %]]="","",Table14[[#This Row],[Progress %]]*Table14[[#This Row],[Value £]])</f>
        <v/>
      </c>
      <c r="N42" s="214"/>
    </row>
    <row r="43" s="225" customFormat="true" ht="65.15" hidden="false" customHeight="true" outlineLevel="0" collapsed="false">
      <c r="B43" s="205"/>
      <c r="C43" s="206" t="str">
        <f aca="false">IF(Table14[[#This Row],[Description]]="","",C42+1)</f>
        <v/>
      </c>
      <c r="D43" s="207"/>
      <c r="E43" s="208"/>
      <c r="F43" s="209"/>
      <c r="G43" s="209"/>
      <c r="H43" s="209"/>
      <c r="I43" s="210"/>
      <c r="J43" s="211"/>
      <c r="K43" s="212"/>
      <c r="L43" s="213"/>
      <c r="M43" s="210" t="str">
        <f aca="false">IF(Table14[[#This Row],[Progress %]]="","",Table14[[#This Row],[Progress %]]*Table14[[#This Row],[Value £]])</f>
        <v/>
      </c>
      <c r="N43" s="214"/>
    </row>
    <row r="44" s="225" customFormat="true" ht="65.15" hidden="false" customHeight="true" outlineLevel="0" collapsed="false">
      <c r="B44" s="205"/>
      <c r="C44" s="206" t="str">
        <f aca="false">IF(Table14[[#This Row],[Description]]="","",C43+1)</f>
        <v/>
      </c>
      <c r="D44" s="207"/>
      <c r="E44" s="208"/>
      <c r="F44" s="209"/>
      <c r="G44" s="209"/>
      <c r="H44" s="209"/>
      <c r="I44" s="210"/>
      <c r="J44" s="211"/>
      <c r="K44" s="212"/>
      <c r="L44" s="213"/>
      <c r="M44" s="210" t="str">
        <f aca="false">IF(Table14[[#This Row],[Progress %]]="","",Table14[[#This Row],[Progress %]]*Table14[[#This Row],[Value £]])</f>
        <v/>
      </c>
      <c r="N44" s="214"/>
    </row>
    <row r="45" s="225" customFormat="true" ht="65.15" hidden="false" customHeight="true" outlineLevel="0" collapsed="false">
      <c r="B45" s="205"/>
      <c r="C45" s="206" t="str">
        <f aca="false">IF(Table14[[#This Row],[Description]]="","",C44+1)</f>
        <v/>
      </c>
      <c r="D45" s="207"/>
      <c r="E45" s="208"/>
      <c r="F45" s="209"/>
      <c r="G45" s="209"/>
      <c r="H45" s="209" t="e">
        <f aca="false">IF(SUMIF([3]!table15[vo '#],table14[[#this row],[ vo]],[3]!table15[total £])=0,"",sumif([3]!table15[vo '#],Table14[[#This Row],[ VO]],[3]!table15[total £]))),TRUE())</f>
        <v>#N/A</v>
      </c>
      <c r="I45" s="210"/>
      <c r="J45" s="211"/>
      <c r="K45" s="212"/>
      <c r="L45" s="213"/>
      <c r="M45" s="210" t="str">
        <f aca="false">IF(Table14[[#This Row],[Progress %]]="","",Table14[[#This Row],[Progress %]]*Table14[[#This Row],[Value £]])</f>
        <v/>
      </c>
      <c r="N45" s="214"/>
    </row>
    <row r="46" s="225" customFormat="true" ht="65.15" hidden="false" customHeight="true" outlineLevel="0" collapsed="false">
      <c r="B46" s="205"/>
      <c r="C46" s="206" t="str">
        <f aca="false">IF(Table14[[#This Row],[Description]]="","",C45+1)</f>
        <v/>
      </c>
      <c r="D46" s="207"/>
      <c r="E46" s="208"/>
      <c r="F46" s="209"/>
      <c r="G46" s="209"/>
      <c r="H46" s="209"/>
      <c r="I46" s="210"/>
      <c r="J46" s="211"/>
      <c r="K46" s="212"/>
      <c r="L46" s="213"/>
      <c r="M46" s="210" t="str">
        <f aca="false">IF(Table14[[#This Row],[Progress %]]="","",Table14[[#This Row],[Progress %]]*Table14[[#This Row],[Value £]])</f>
        <v/>
      </c>
      <c r="N46" s="214"/>
    </row>
    <row r="47" s="225" customFormat="true" ht="65.15" hidden="false" customHeight="true" outlineLevel="0" collapsed="false">
      <c r="B47" s="205"/>
      <c r="C47" s="206" t="str">
        <f aca="false">IF(Table14[[#This Row],[Description]]="","",C46+1)</f>
        <v/>
      </c>
      <c r="D47" s="207"/>
      <c r="E47" s="208"/>
      <c r="F47" s="209"/>
      <c r="G47" s="209"/>
      <c r="H47" s="209"/>
      <c r="I47" s="210"/>
      <c r="J47" s="211"/>
      <c r="K47" s="212"/>
      <c r="L47" s="213"/>
      <c r="M47" s="210" t="str">
        <f aca="false">IF(Table14[[#This Row],[Progress %]]="","",Table14[[#This Row],[Progress %]]*Table14[[#This Row],[Value £]])</f>
        <v/>
      </c>
      <c r="N47" s="214"/>
    </row>
    <row r="48" s="225" customFormat="true" ht="65.15" hidden="false" customHeight="true" outlineLevel="0" collapsed="false">
      <c r="B48" s="205"/>
      <c r="C48" s="206" t="str">
        <f aca="false">IF(Table14[[#This Row],[Description]]="","",C47+1)</f>
        <v/>
      </c>
      <c r="D48" s="207"/>
      <c r="E48" s="208"/>
      <c r="F48" s="209"/>
      <c r="G48" s="209"/>
      <c r="H48" s="209"/>
      <c r="I48" s="210"/>
      <c r="J48" s="211"/>
      <c r="K48" s="212"/>
      <c r="L48" s="213"/>
      <c r="M48" s="210" t="str">
        <f aca="false">IF(Table14[[#This Row],[Progress %]]="","",Table14[[#This Row],[Progress %]]*Table14[[#This Row],[Value £]])</f>
        <v/>
      </c>
      <c r="N48" s="214"/>
    </row>
    <row r="49" s="225" customFormat="true" ht="65.15" hidden="false" customHeight="true" outlineLevel="0" collapsed="false">
      <c r="B49" s="205"/>
      <c r="C49" s="206" t="str">
        <f aca="false">IF(Table14[[#This Row],[Description]]="","",C48+1)</f>
        <v/>
      </c>
      <c r="D49" s="207"/>
      <c r="E49" s="208"/>
      <c r="F49" s="209"/>
      <c r="G49" s="209"/>
      <c r="H49" s="209"/>
      <c r="I49" s="210"/>
      <c r="J49" s="211"/>
      <c r="K49" s="212"/>
      <c r="L49" s="213"/>
      <c r="M49" s="210" t="str">
        <f aca="false">IF(Table14[[#This Row],[Progress %]]="","",Table14[[#This Row],[Progress %]]*Table14[[#This Row],[Value £]])</f>
        <v/>
      </c>
      <c r="N49" s="214"/>
    </row>
    <row r="50" s="225" customFormat="true" ht="65.15" hidden="false" customHeight="true" outlineLevel="0" collapsed="false">
      <c r="B50" s="205"/>
      <c r="C50" s="206" t="str">
        <f aca="false">IF(Table14[[#This Row],[Description]]="","",C49+1)</f>
        <v/>
      </c>
      <c r="D50" s="207"/>
      <c r="E50" s="208"/>
      <c r="F50" s="209"/>
      <c r="G50" s="209"/>
      <c r="H50" s="209"/>
      <c r="I50" s="210"/>
      <c r="J50" s="211"/>
      <c r="K50" s="212"/>
      <c r="L50" s="213"/>
      <c r="M50" s="210" t="str">
        <f aca="false">IF(Table14[[#This Row],[Progress %]]="","",Table14[[#This Row],[Progress %]]*Table14[[#This Row],[Value £]])</f>
        <v/>
      </c>
      <c r="N50" s="214"/>
    </row>
    <row r="51" s="225" customFormat="true" ht="65.15" hidden="false" customHeight="true" outlineLevel="0" collapsed="false">
      <c r="B51" s="205"/>
      <c r="C51" s="206" t="str">
        <f aca="false">IF(Table14[[#This Row],[Description]]="","",C50+1)</f>
        <v/>
      </c>
      <c r="D51" s="207"/>
      <c r="E51" s="208"/>
      <c r="F51" s="209"/>
      <c r="G51" s="209"/>
      <c r="H51" s="209"/>
      <c r="I51" s="210"/>
      <c r="J51" s="211"/>
      <c r="K51" s="212"/>
      <c r="L51" s="213"/>
      <c r="M51" s="210" t="str">
        <f aca="false">IF(Table14[[#This Row],[Progress %]]="","",Table14[[#This Row],[Progress %]]*Table14[[#This Row],[Value £]])</f>
        <v/>
      </c>
      <c r="N51" s="214"/>
    </row>
    <row r="52" s="225" customFormat="true" ht="65.15" hidden="false" customHeight="true" outlineLevel="0" collapsed="false">
      <c r="B52" s="205"/>
      <c r="C52" s="206" t="str">
        <f aca="false">IF(Table14[[#This Row],[Description]]="","",C51+1)</f>
        <v/>
      </c>
      <c r="D52" s="207"/>
      <c r="E52" s="208"/>
      <c r="F52" s="209"/>
      <c r="G52" s="209"/>
      <c r="H52" s="209"/>
      <c r="I52" s="210"/>
      <c r="J52" s="211"/>
      <c r="K52" s="212"/>
      <c r="L52" s="213"/>
      <c r="M52" s="210" t="str">
        <f aca="false">IF(Table14[[#This Row],[Progress %]]="","",Table14[[#This Row],[Progress %]]*Table14[[#This Row],[Value £]])</f>
        <v/>
      </c>
      <c r="N52" s="214"/>
    </row>
    <row r="53" s="225" customFormat="true" ht="65.15" hidden="false" customHeight="true" outlineLevel="0" collapsed="false">
      <c r="B53" s="205"/>
      <c r="C53" s="206" t="str">
        <f aca="false">IF(Table14[[#This Row],[Description]]="","",C52+1)</f>
        <v/>
      </c>
      <c r="D53" s="207"/>
      <c r="E53" s="208"/>
      <c r="F53" s="209"/>
      <c r="G53" s="209"/>
      <c r="H53" s="209"/>
      <c r="I53" s="210"/>
      <c r="J53" s="211"/>
      <c r="K53" s="212"/>
      <c r="L53" s="213"/>
      <c r="M53" s="210" t="str">
        <f aca="false">IF(Table14[[#This Row],[Progress %]]="","",Table14[[#This Row],[Progress %]]*Table14[[#This Row],[Value £]])</f>
        <v/>
      </c>
      <c r="N53" s="214"/>
    </row>
    <row r="54" s="225" customFormat="true" ht="65.15" hidden="false" customHeight="true" outlineLevel="0" collapsed="false">
      <c r="B54" s="205"/>
      <c r="C54" s="206" t="str">
        <f aca="false">IF(Table14[[#This Row],[Description]]="","",C53+1)</f>
        <v/>
      </c>
      <c r="D54" s="207"/>
      <c r="E54" s="208"/>
      <c r="F54" s="209"/>
      <c r="G54" s="209"/>
      <c r="H54" s="209" t="s">
        <v>25</v>
      </c>
      <c r="I54" s="210"/>
      <c r="J54" s="211"/>
      <c r="K54" s="212"/>
      <c r="L54" s="213"/>
      <c r="M54" s="210" t="str">
        <f aca="false">IF(Table14[[#This Row],[Progress %]]="","",Table14[[#This Row],[Progress %]]*Table14[[#This Row],[Value £]])</f>
        <v/>
      </c>
      <c r="N54" s="214"/>
    </row>
    <row r="55" s="225" customFormat="true" ht="65.15" hidden="false" customHeight="true" outlineLevel="0" collapsed="false">
      <c r="B55" s="205"/>
      <c r="C55" s="206" t="str">
        <f aca="false">IF(Table14[[#This Row],[Description]]="","",C54+1)</f>
        <v/>
      </c>
      <c r="D55" s="207"/>
      <c r="E55" s="208"/>
      <c r="F55" s="209"/>
      <c r="G55" s="209"/>
      <c r="H55" s="209"/>
      <c r="I55" s="210"/>
      <c r="J55" s="211"/>
      <c r="K55" s="212"/>
      <c r="L55" s="213"/>
      <c r="M55" s="210" t="str">
        <f aca="false">IF(Table14[[#This Row],[Progress %]]="","",Table14[[#This Row],[Progress %]]*Table14[[#This Row],[Value £]])</f>
        <v/>
      </c>
      <c r="N55" s="214"/>
    </row>
    <row r="56" s="225" customFormat="true" ht="65.15" hidden="false" customHeight="true" outlineLevel="0" collapsed="false">
      <c r="B56" s="205"/>
      <c r="C56" s="206" t="str">
        <f aca="false">IF(Table14[[#This Row],[Description]]="","",C55+1)</f>
        <v/>
      </c>
      <c r="D56" s="207"/>
      <c r="E56" s="208"/>
      <c r="F56" s="209"/>
      <c r="G56" s="209"/>
      <c r="H56" s="209"/>
      <c r="I56" s="210"/>
      <c r="J56" s="211"/>
      <c r="K56" s="212"/>
      <c r="L56" s="213"/>
      <c r="M56" s="210" t="str">
        <f aca="false">IF(Table14[[#This Row],[Progress %]]="","",Table14[[#This Row],[Progress %]]*Table14[[#This Row],[Value £]])</f>
        <v/>
      </c>
      <c r="N56" s="214"/>
    </row>
    <row r="57" s="225" customFormat="true" ht="65.15" hidden="false" customHeight="true" outlineLevel="0" collapsed="false">
      <c r="B57" s="205"/>
      <c r="C57" s="206" t="str">
        <f aca="false">IF(Table14[[#This Row],[Description]]="","",C56+1)</f>
        <v/>
      </c>
      <c r="D57" s="207"/>
      <c r="E57" s="208"/>
      <c r="F57" s="209"/>
      <c r="G57" s="209"/>
      <c r="H57" s="209"/>
      <c r="I57" s="210"/>
      <c r="J57" s="211"/>
      <c r="K57" s="212"/>
      <c r="L57" s="213"/>
      <c r="M57" s="210" t="str">
        <f aca="false">IF(Table14[[#This Row],[Progress %]]="","",Table14[[#This Row],[Progress %]]*Table14[[#This Row],[Value £]])</f>
        <v/>
      </c>
      <c r="N57" s="214"/>
    </row>
    <row r="58" s="225" customFormat="true" ht="65.15" hidden="false" customHeight="true" outlineLevel="0" collapsed="false">
      <c r="B58" s="205"/>
      <c r="C58" s="206" t="str">
        <f aca="false">IF(Table14[[#This Row],[Description]]="","",C57+1)</f>
        <v/>
      </c>
      <c r="D58" s="207"/>
      <c r="E58" s="208"/>
      <c r="F58" s="209"/>
      <c r="G58" s="209"/>
      <c r="H58" s="209"/>
      <c r="I58" s="210"/>
      <c r="J58" s="211"/>
      <c r="K58" s="212"/>
      <c r="L58" s="213"/>
      <c r="M58" s="210" t="str">
        <f aca="false">IF(Table14[[#This Row],[Progress %]]="","",Table14[[#This Row],[Progress %]]*Table14[[#This Row],[Value £]])</f>
        <v/>
      </c>
      <c r="N58" s="214"/>
    </row>
    <row r="59" s="225" customFormat="true" ht="65.15" hidden="false" customHeight="true" outlineLevel="0" collapsed="false">
      <c r="B59" s="205"/>
      <c r="C59" s="206" t="str">
        <f aca="false">IF(Table14[[#This Row],[Description]]="","",C58+1)</f>
        <v/>
      </c>
      <c r="D59" s="207"/>
      <c r="E59" s="208"/>
      <c r="F59" s="209"/>
      <c r="G59" s="209"/>
      <c r="H59" s="209"/>
      <c r="I59" s="210"/>
      <c r="J59" s="211"/>
      <c r="K59" s="212"/>
      <c r="L59" s="213"/>
      <c r="M59" s="210" t="str">
        <f aca="false">IF(Table14[[#This Row],[Progress %]]="","",Table14[[#This Row],[Progress %]]*Table14[[#This Row],[Value £]])</f>
        <v/>
      </c>
      <c r="N59" s="214"/>
    </row>
    <row r="60" s="204" customFormat="true" ht="65.15" hidden="false" customHeight="true" outlineLevel="0" collapsed="false">
      <c r="B60" s="205"/>
      <c r="C60" s="206" t="str">
        <f aca="false">IF(Table14[[#This Row],[Description]]="","",C59+1)</f>
        <v/>
      </c>
      <c r="D60" s="207"/>
      <c r="E60" s="208"/>
      <c r="F60" s="209"/>
      <c r="G60" s="209"/>
      <c r="H60" s="209"/>
      <c r="I60" s="210"/>
      <c r="J60" s="211"/>
      <c r="K60" s="212"/>
      <c r="L60" s="213"/>
      <c r="M60" s="210" t="str">
        <f aca="false">IF(Table14[[#This Row],[Progress %]]="","",Table14[[#This Row],[Progress %]]*Table14[[#This Row],[Value £]])</f>
        <v/>
      </c>
      <c r="N60" s="214"/>
    </row>
    <row r="61" s="204" customFormat="true" ht="65.15" hidden="false" customHeight="true" outlineLevel="0" collapsed="false">
      <c r="B61" s="205"/>
      <c r="C61" s="206" t="str">
        <f aca="false">IF(Table14[[#This Row],[Description]]="","",C60+1)</f>
        <v/>
      </c>
      <c r="D61" s="207"/>
      <c r="E61" s="208"/>
      <c r="F61" s="209"/>
      <c r="G61" s="209"/>
      <c r="H61" s="209"/>
      <c r="I61" s="210"/>
      <c r="J61" s="211"/>
      <c r="K61" s="212"/>
      <c r="L61" s="213"/>
      <c r="M61" s="210" t="str">
        <f aca="false">IF(Table14[[#This Row],[Progress %]]="","",Table14[[#This Row],[Progress %]]*Table14[[#This Row],[Value £]])</f>
        <v/>
      </c>
      <c r="N61" s="214"/>
    </row>
    <row r="62" s="204" customFormat="true" ht="65.15" hidden="false" customHeight="true" outlineLevel="0" collapsed="false">
      <c r="B62" s="205"/>
      <c r="C62" s="206" t="str">
        <f aca="false">IF(Table14[[#This Row],[Description]]="","",C61+1)</f>
        <v/>
      </c>
      <c r="D62" s="207"/>
      <c r="E62" s="208"/>
      <c r="F62" s="209"/>
      <c r="G62" s="209"/>
      <c r="H62" s="209"/>
      <c r="I62" s="210"/>
      <c r="J62" s="211"/>
      <c r="K62" s="212"/>
      <c r="L62" s="213"/>
      <c r="M62" s="210" t="str">
        <f aca="false">IF(Table14[[#This Row],[Progress %]]="","",Table14[[#This Row],[Progress %]]*Table14[[#This Row],[Value £]])</f>
        <v/>
      </c>
      <c r="N62" s="214"/>
    </row>
    <row r="63" s="204" customFormat="true" ht="65.15" hidden="false" customHeight="true" outlineLevel="0" collapsed="false">
      <c r="B63" s="205"/>
      <c r="C63" s="206" t="str">
        <f aca="false">IF(Table14[[#This Row],[Description]]="","",C62+1)</f>
        <v/>
      </c>
      <c r="D63" s="207"/>
      <c r="E63" s="208"/>
      <c r="F63" s="209"/>
      <c r="G63" s="209"/>
      <c r="H63" s="209"/>
      <c r="I63" s="210"/>
      <c r="J63" s="211"/>
      <c r="K63" s="212"/>
      <c r="L63" s="213"/>
      <c r="M63" s="210" t="str">
        <f aca="false">IF(Table14[[#This Row],[Progress %]]="","",Table14[[#This Row],[Progress %]]*Table14[[#This Row],[Value £]])</f>
        <v/>
      </c>
      <c r="N63" s="214"/>
    </row>
    <row r="64" s="204" customFormat="true" ht="65.15" hidden="false" customHeight="true" outlineLevel="0" collapsed="false">
      <c r="B64" s="205"/>
      <c r="C64" s="206" t="str">
        <f aca="false">IF(Table14[[#This Row],[Description]]="","",C63+1)</f>
        <v/>
      </c>
      <c r="D64" s="207"/>
      <c r="E64" s="208"/>
      <c r="F64" s="209"/>
      <c r="G64" s="209"/>
      <c r="H64" s="209"/>
      <c r="I64" s="210"/>
      <c r="J64" s="211"/>
      <c r="K64" s="222"/>
      <c r="L64" s="223"/>
      <c r="M64" s="224" t="str">
        <f aca="false">IF(Table14[[#This Row],[Progress %]]="","",Table14[[#This Row],[Progress %]]*Table14[[#This Row],[Value £]])</f>
        <v/>
      </c>
      <c r="N64" s="214"/>
    </row>
    <row r="65" s="204" customFormat="true" ht="65.15" hidden="false" customHeight="true" outlineLevel="0" collapsed="false">
      <c r="B65" s="205"/>
      <c r="C65" s="206" t="str">
        <f aca="false">IF(Table14[[#This Row],[Description]]="","",C64+1)</f>
        <v/>
      </c>
      <c r="D65" s="207"/>
      <c r="E65" s="208"/>
      <c r="F65" s="209"/>
      <c r="G65" s="209"/>
      <c r="H65" s="209"/>
      <c r="I65" s="210"/>
      <c r="J65" s="211"/>
      <c r="K65" s="212"/>
      <c r="L65" s="213"/>
      <c r="M65" s="210" t="str">
        <f aca="false">IF(Table14[[#This Row],[Progress %]]="","",Table14[[#This Row],[Progress %]]*Table14[[#This Row],[Value £]])</f>
        <v/>
      </c>
      <c r="N65" s="214"/>
    </row>
    <row r="66" s="204" customFormat="true" ht="65.15" hidden="false" customHeight="true" outlineLevel="0" collapsed="false">
      <c r="B66" s="205"/>
      <c r="C66" s="206" t="str">
        <f aca="false">IF(Table14[[#This Row],[Description]]="","",C65+1)</f>
        <v/>
      </c>
      <c r="D66" s="207"/>
      <c r="E66" s="208"/>
      <c r="F66" s="209"/>
      <c r="G66" s="209"/>
      <c r="H66" s="209"/>
      <c r="I66" s="210"/>
      <c r="J66" s="211"/>
      <c r="K66" s="212"/>
      <c r="L66" s="213"/>
      <c r="M66" s="210" t="str">
        <f aca="false">IF(Table14[[#This Row],[Progress %]]="","",Table14[[#This Row],[Progress %]]*Table14[[#This Row],[Value £]])</f>
        <v/>
      </c>
      <c r="N66" s="214"/>
    </row>
    <row r="67" s="204" customFormat="true" ht="65.15" hidden="false" customHeight="true" outlineLevel="0" collapsed="false">
      <c r="B67" s="205"/>
      <c r="C67" s="206" t="str">
        <f aca="false">IF(Table14[[#This Row],[Description]]="","",C66+1)</f>
        <v/>
      </c>
      <c r="D67" s="207"/>
      <c r="E67" s="208"/>
      <c r="F67" s="209"/>
      <c r="G67" s="209"/>
      <c r="H67" s="209"/>
      <c r="I67" s="210"/>
      <c r="J67" s="211"/>
      <c r="K67" s="212"/>
      <c r="L67" s="213"/>
      <c r="M67" s="210" t="str">
        <f aca="false">IF(Table14[[#This Row],[Progress %]]="","",Table14[[#This Row],[Progress %]]*Table14[[#This Row],[Value £]])</f>
        <v/>
      </c>
      <c r="N67" s="214"/>
    </row>
    <row r="68" s="204" customFormat="true" ht="65.15" hidden="false" customHeight="true" outlineLevel="0" collapsed="false">
      <c r="B68" s="205"/>
      <c r="C68" s="206" t="str">
        <f aca="false">IF(Table14[[#This Row],[Description]]="","",C67+1)</f>
        <v/>
      </c>
      <c r="D68" s="207"/>
      <c r="E68" s="208"/>
      <c r="F68" s="209"/>
      <c r="G68" s="209"/>
      <c r="H68" s="209"/>
      <c r="I68" s="210"/>
      <c r="J68" s="211"/>
      <c r="K68" s="212"/>
      <c r="L68" s="213"/>
      <c r="M68" s="210" t="str">
        <f aca="false">IF(Table14[[#This Row],[Progress %]]="","",Table14[[#This Row],[Progress %]]*Table14[[#This Row],[Value £]])</f>
        <v/>
      </c>
      <c r="N68" s="214"/>
    </row>
    <row r="69" s="204" customFormat="true" ht="65.15" hidden="false" customHeight="true" outlineLevel="0" collapsed="false">
      <c r="B69" s="205"/>
      <c r="C69" s="206" t="str">
        <f aca="false">IF(Table14[[#This Row],[Description]]="","",C68+1)</f>
        <v/>
      </c>
      <c r="D69" s="207"/>
      <c r="E69" s="208"/>
      <c r="F69" s="209"/>
      <c r="G69" s="209"/>
      <c r="H69" s="209"/>
      <c r="I69" s="210"/>
      <c r="J69" s="211"/>
      <c r="K69" s="226"/>
      <c r="L69" s="227"/>
      <c r="M69" s="228" t="str">
        <f aca="false">IF(Table14[[#This Row],[Progress %]]="","",Table14[[#This Row],[Progress %]]*Table14[[#This Row],[Value £]])</f>
        <v/>
      </c>
      <c r="N69" s="214"/>
    </row>
    <row r="70" s="204" customFormat="true" ht="65.15" hidden="false" customHeight="true" outlineLevel="0" collapsed="false">
      <c r="B70" s="205"/>
      <c r="C70" s="206" t="str">
        <f aca="false">IF(Table14[[#This Row],[Description]]="","",C69+1)</f>
        <v/>
      </c>
      <c r="D70" s="207"/>
      <c r="E70" s="208"/>
      <c r="F70" s="209"/>
      <c r="G70" s="209"/>
      <c r="H70" s="209"/>
      <c r="I70" s="210"/>
      <c r="J70" s="211"/>
      <c r="K70" s="212"/>
      <c r="L70" s="213"/>
      <c r="M70" s="210" t="str">
        <f aca="false">IF(Table14[[#This Row],[Progress %]]="","",Table14[[#This Row],[Progress %]]*Table14[[#This Row],[Value £]])</f>
        <v/>
      </c>
      <c r="N70" s="214"/>
    </row>
    <row r="71" s="204" customFormat="true" ht="65.15" hidden="false" customHeight="true" outlineLevel="0" collapsed="false">
      <c r="B71" s="205"/>
      <c r="C71" s="206" t="str">
        <f aca="false">IF(Table14[[#This Row],[Description]]="","",C70+1)</f>
        <v/>
      </c>
      <c r="D71" s="207"/>
      <c r="E71" s="208"/>
      <c r="F71" s="209"/>
      <c r="G71" s="209"/>
      <c r="H71" s="209"/>
      <c r="I71" s="210"/>
      <c r="J71" s="211"/>
      <c r="K71" s="212"/>
      <c r="L71" s="213"/>
      <c r="M71" s="210" t="str">
        <f aca="false">IF(Table14[[#This Row],[Progress %]]="","",Table14[[#This Row],[Progress %]]*Table14[[#This Row],[Value £]])</f>
        <v/>
      </c>
      <c r="N71" s="214"/>
    </row>
    <row r="72" s="204" customFormat="true" ht="65.15" hidden="false" customHeight="true" outlineLevel="0" collapsed="false">
      <c r="B72" s="205"/>
      <c r="C72" s="206" t="str">
        <f aca="false">IF(Table14[[#This Row],[Description]]="","",C71+1)</f>
        <v/>
      </c>
      <c r="D72" s="207"/>
      <c r="E72" s="208"/>
      <c r="F72" s="209"/>
      <c r="G72" s="209"/>
      <c r="H72" s="209"/>
      <c r="I72" s="210"/>
      <c r="J72" s="211"/>
      <c r="K72" s="212"/>
      <c r="L72" s="213"/>
      <c r="M72" s="210" t="str">
        <f aca="false">IF(Table14[[#This Row],[Progress %]]="","",Table14[[#This Row],[Progress %]]*Table14[[#This Row],[Value £]])</f>
        <v/>
      </c>
      <c r="N72" s="214"/>
    </row>
    <row r="73" s="204" customFormat="true" ht="65.15" hidden="false" customHeight="true" outlineLevel="0" collapsed="false">
      <c r="B73" s="205"/>
      <c r="C73" s="206" t="str">
        <f aca="false">IF(Table14[[#This Row],[Description]]="","",C72+1)</f>
        <v/>
      </c>
      <c r="D73" s="207"/>
      <c r="E73" s="229"/>
      <c r="F73" s="209"/>
      <c r="G73" s="209"/>
      <c r="H73" s="209"/>
      <c r="I73" s="210"/>
      <c r="J73" s="211"/>
      <c r="K73" s="226"/>
      <c r="L73" s="227"/>
      <c r="M73" s="228" t="str">
        <f aca="false">IF(Table14[[#This Row],[Progress %]]="","",Table14[[#This Row],[Progress %]]*Table14[[#This Row],[Value £]])</f>
        <v/>
      </c>
      <c r="N73" s="214"/>
    </row>
    <row r="74" s="204" customFormat="true" ht="65.15" hidden="false" customHeight="true" outlineLevel="0" collapsed="false">
      <c r="B74" s="205"/>
      <c r="C74" s="206" t="str">
        <f aca="false">IF(Table14[[#This Row],[Description]]="","",C73+1)</f>
        <v/>
      </c>
      <c r="D74" s="207"/>
      <c r="E74" s="208"/>
      <c r="F74" s="209"/>
      <c r="G74" s="209"/>
      <c r="H74" s="209"/>
      <c r="I74" s="210"/>
      <c r="J74" s="211"/>
      <c r="K74" s="212"/>
      <c r="L74" s="213"/>
      <c r="M74" s="210" t="str">
        <f aca="false">IF(Table14[[#This Row],[Progress %]]="","",Table14[[#This Row],[Progress %]]*Table14[[#This Row],[Value £]])</f>
        <v/>
      </c>
      <c r="N74" s="214"/>
    </row>
    <row r="75" s="204" customFormat="true" ht="65.15" hidden="false" customHeight="true" outlineLevel="0" collapsed="false">
      <c r="B75" s="205"/>
      <c r="C75" s="206" t="str">
        <f aca="false">IF(Table14[[#This Row],[Description]]="","",C74+1)</f>
        <v/>
      </c>
      <c r="D75" s="207"/>
      <c r="E75" s="208"/>
      <c r="F75" s="209"/>
      <c r="G75" s="209"/>
      <c r="H75" s="209"/>
      <c r="I75" s="210"/>
      <c r="J75" s="211"/>
      <c r="K75" s="212"/>
      <c r="L75" s="213"/>
      <c r="M75" s="210" t="str">
        <f aca="false">IF(Table14[[#This Row],[Progress %]]="","",Table14[[#This Row],[Progress %]]*Table14[[#This Row],[Value £]])</f>
        <v/>
      </c>
      <c r="N75" s="214"/>
    </row>
    <row r="76" s="204" customFormat="true" ht="65.15" hidden="false" customHeight="true" outlineLevel="0" collapsed="false">
      <c r="B76" s="205"/>
      <c r="C76" s="206" t="str">
        <f aca="false">IF(Table14[[#This Row],[Description]]="","",C75+1)</f>
        <v/>
      </c>
      <c r="D76" s="207"/>
      <c r="E76" s="208"/>
      <c r="F76" s="209"/>
      <c r="G76" s="209"/>
      <c r="H76" s="209"/>
      <c r="I76" s="210"/>
      <c r="J76" s="211"/>
      <c r="K76" s="212"/>
      <c r="L76" s="213"/>
      <c r="M76" s="210" t="str">
        <f aca="false">IF(Table14[[#This Row],[Progress %]]="","",Table14[[#This Row],[Progress %]]*Table14[[#This Row],[Value £]])</f>
        <v/>
      </c>
      <c r="N76" s="214"/>
    </row>
    <row r="77" s="204" customFormat="true" ht="65.15" hidden="false" customHeight="true" outlineLevel="0" collapsed="false">
      <c r="B77" s="205"/>
      <c r="C77" s="206" t="str">
        <f aca="false">IF(Table14[[#This Row],[Description]]="","",C76+1)</f>
        <v/>
      </c>
      <c r="D77" s="207"/>
      <c r="E77" s="208"/>
      <c r="F77" s="209"/>
      <c r="G77" s="209"/>
      <c r="H77" s="209"/>
      <c r="I77" s="210"/>
      <c r="J77" s="211"/>
      <c r="K77" s="212"/>
      <c r="L77" s="213"/>
      <c r="M77" s="210" t="str">
        <f aca="false">IF(Table14[[#This Row],[Progress %]]="","",Table14[[#This Row],[Progress %]]*Table14[[#This Row],[Value £]])</f>
        <v/>
      </c>
      <c r="N77" s="214"/>
    </row>
    <row r="78" s="204" customFormat="true" ht="65.15" hidden="false" customHeight="true" outlineLevel="0" collapsed="false">
      <c r="B78" s="205"/>
      <c r="C78" s="206" t="str">
        <f aca="false">IF(Table14[[#This Row],[Description]]="","",C77+1)</f>
        <v/>
      </c>
      <c r="D78" s="207"/>
      <c r="E78" s="208"/>
      <c r="F78" s="209"/>
      <c r="G78" s="209"/>
      <c r="H78" s="209"/>
      <c r="I78" s="210"/>
      <c r="J78" s="211"/>
      <c r="K78" s="212"/>
      <c r="L78" s="213"/>
      <c r="M78" s="210" t="str">
        <f aca="false">IF(Table14[[#This Row],[Progress %]]="","",Table14[[#This Row],[Progress %]]*Table14[[#This Row],[Value £]])</f>
        <v/>
      </c>
      <c r="N78" s="214"/>
    </row>
    <row r="79" s="204" customFormat="true" ht="65.15" hidden="false" customHeight="true" outlineLevel="0" collapsed="false">
      <c r="B79" s="205"/>
      <c r="C79" s="206" t="str">
        <f aca="false">IF(Table14[[#This Row],[Description]]="","",C78+1)</f>
        <v/>
      </c>
      <c r="D79" s="207"/>
      <c r="E79" s="208"/>
      <c r="F79" s="209"/>
      <c r="G79" s="209"/>
      <c r="H79" s="209"/>
      <c r="I79" s="210"/>
      <c r="J79" s="211"/>
      <c r="K79" s="212"/>
      <c r="L79" s="213"/>
      <c r="M79" s="210" t="str">
        <f aca="false">IF(Table14[[#This Row],[Progress %]]="","",Table14[[#This Row],[Progress %]]*Table14[[#This Row],[Value £]])</f>
        <v/>
      </c>
      <c r="N79" s="214"/>
    </row>
    <row r="80" s="204" customFormat="true" ht="65.15" hidden="false" customHeight="true" outlineLevel="0" collapsed="false">
      <c r="B80" s="205"/>
      <c r="C80" s="206" t="str">
        <f aca="false">IF(Table14[[#This Row],[Description]]="","",C79+1)</f>
        <v/>
      </c>
      <c r="D80" s="207"/>
      <c r="E80" s="208"/>
      <c r="F80" s="209"/>
      <c r="G80" s="209"/>
      <c r="H80" s="209"/>
      <c r="I80" s="210"/>
      <c r="J80" s="211"/>
      <c r="K80" s="212"/>
      <c r="L80" s="213"/>
      <c r="M80" s="210" t="str">
        <f aca="false">IF(Table14[[#This Row],[Progress %]]="","",Table14[[#This Row],[Progress %]]*Table14[[#This Row],[Value £]])</f>
        <v/>
      </c>
      <c r="N80" s="214"/>
    </row>
    <row r="81" s="204" customFormat="true" ht="65.15" hidden="false" customHeight="true" outlineLevel="0" collapsed="false">
      <c r="B81" s="205"/>
      <c r="C81" s="206" t="str">
        <f aca="false">IF(Table14[[#This Row],[Description]]="","",C80+1)</f>
        <v/>
      </c>
      <c r="D81" s="207"/>
      <c r="E81" s="208"/>
      <c r="F81" s="209"/>
      <c r="G81" s="209"/>
      <c r="H81" s="209"/>
      <c r="I81" s="210"/>
      <c r="J81" s="211"/>
      <c r="K81" s="212"/>
      <c r="L81" s="213"/>
      <c r="M81" s="210" t="str">
        <f aca="false">IF(Table14[[#This Row],[Progress %]]="","",Table14[[#This Row],[Progress %]]*Table14[[#This Row],[Value £]])</f>
        <v/>
      </c>
      <c r="N81" s="214"/>
    </row>
    <row r="82" s="204" customFormat="true" ht="65.15" hidden="false" customHeight="true" outlineLevel="0" collapsed="false">
      <c r="B82" s="205"/>
      <c r="C82" s="206" t="str">
        <f aca="false">IF(Table14[[#This Row],[Description]]="","",C81+1)</f>
        <v/>
      </c>
      <c r="D82" s="207"/>
      <c r="E82" s="208"/>
      <c r="F82" s="209"/>
      <c r="G82" s="209"/>
      <c r="H82" s="209"/>
      <c r="I82" s="210"/>
      <c r="J82" s="211"/>
      <c r="K82" s="212"/>
      <c r="L82" s="213"/>
      <c r="M82" s="210" t="str">
        <f aca="false">IF(Table14[[#This Row],[Progress %]]="","",Table14[[#This Row],[Progress %]]*Table14[[#This Row],[Value £]])</f>
        <v/>
      </c>
      <c r="N82" s="214"/>
    </row>
    <row r="83" s="204" customFormat="true" ht="65.15" hidden="false" customHeight="true" outlineLevel="0" collapsed="false">
      <c r="B83" s="205"/>
      <c r="C83" s="206" t="str">
        <f aca="false">IF(Table14[[#This Row],[Description]]="","",C82+1)</f>
        <v/>
      </c>
      <c r="D83" s="207"/>
      <c r="E83" s="208"/>
      <c r="F83" s="209"/>
      <c r="G83" s="209"/>
      <c r="H83" s="209"/>
      <c r="I83" s="210"/>
      <c r="J83" s="211"/>
      <c r="K83" s="212"/>
      <c r="L83" s="213"/>
      <c r="M83" s="210" t="str">
        <f aca="false">IF(Table14[[#This Row],[Progress %]]="","",Table14[[#This Row],[Progress %]]*Table14[[#This Row],[Value £]])</f>
        <v/>
      </c>
      <c r="N83" s="214"/>
    </row>
    <row r="84" s="204" customFormat="true" ht="65.15" hidden="false" customHeight="true" outlineLevel="0" collapsed="false">
      <c r="B84" s="205"/>
      <c r="C84" s="206" t="str">
        <f aca="false">IF(Table14[[#This Row],[Description]]="","",C83+1)</f>
        <v/>
      </c>
      <c r="D84" s="207"/>
      <c r="E84" s="208"/>
      <c r="F84" s="209"/>
      <c r="G84" s="209"/>
      <c r="H84" s="209"/>
      <c r="I84" s="210"/>
      <c r="J84" s="211"/>
      <c r="K84" s="212"/>
      <c r="L84" s="213"/>
      <c r="M84" s="210" t="str">
        <f aca="false">IF(Table14[[#This Row],[Progress %]]="","",Table14[[#This Row],[Progress %]]*Table14[[#This Row],[Value £]])</f>
        <v/>
      </c>
      <c r="N84" s="214"/>
    </row>
    <row r="85" s="204" customFormat="true" ht="65.15" hidden="false" customHeight="true" outlineLevel="0" collapsed="false">
      <c r="B85" s="205"/>
      <c r="C85" s="206" t="str">
        <f aca="false">IF(Table14[[#This Row],[Description]]="","",C84+1)</f>
        <v/>
      </c>
      <c r="D85" s="207"/>
      <c r="E85" s="208"/>
      <c r="F85" s="209"/>
      <c r="G85" s="209"/>
      <c r="H85" s="209"/>
      <c r="I85" s="210"/>
      <c r="J85" s="211"/>
      <c r="K85" s="212"/>
      <c r="L85" s="213"/>
      <c r="M85" s="210" t="str">
        <f aca="false">IF(Table14[[#This Row],[Progress %]]="","",Table14[[#This Row],[Progress %]]*Table14[[#This Row],[Value £]])</f>
        <v/>
      </c>
      <c r="N85" s="214"/>
    </row>
    <row r="86" s="204" customFormat="true" ht="65.15" hidden="false" customHeight="true" outlineLevel="0" collapsed="false">
      <c r="B86" s="205"/>
      <c r="C86" s="206" t="str">
        <f aca="false">IF(Table14[[#This Row],[Description]]="","",C85+1)</f>
        <v/>
      </c>
      <c r="D86" s="207"/>
      <c r="E86" s="208"/>
      <c r="F86" s="209"/>
      <c r="G86" s="209"/>
      <c r="H86" s="209"/>
      <c r="I86" s="210"/>
      <c r="J86" s="211"/>
      <c r="K86" s="212"/>
      <c r="L86" s="213"/>
      <c r="M86" s="210" t="str">
        <f aca="false">IF(Table14[[#This Row],[Progress %]]="","",Table14[[#This Row],[Progress %]]*Table14[[#This Row],[Value £]])</f>
        <v/>
      </c>
      <c r="N86" s="214"/>
    </row>
    <row r="87" s="204" customFormat="true" ht="65.15" hidden="false" customHeight="true" outlineLevel="0" collapsed="false">
      <c r="B87" s="205"/>
      <c r="C87" s="206" t="str">
        <f aca="false">IF(Table14[[#This Row],[Description]]="","",C86+1)</f>
        <v/>
      </c>
      <c r="D87" s="207"/>
      <c r="E87" s="208"/>
      <c r="F87" s="209"/>
      <c r="G87" s="209"/>
      <c r="H87" s="209"/>
      <c r="I87" s="210"/>
      <c r="J87" s="211"/>
      <c r="K87" s="212"/>
      <c r="L87" s="213"/>
      <c r="M87" s="210" t="str">
        <f aca="false">IF(Table14[[#This Row],[Progress %]]="","",Table14[[#This Row],[Progress %]]*Table14[[#This Row],[Value £]])</f>
        <v/>
      </c>
      <c r="N87" s="214"/>
    </row>
    <row r="88" s="204" customFormat="true" ht="65.15" hidden="false" customHeight="true" outlineLevel="0" collapsed="false">
      <c r="B88" s="205"/>
      <c r="C88" s="206" t="str">
        <f aca="false">IF(Table14[[#This Row],[Description]]="","",C87+1)</f>
        <v/>
      </c>
      <c r="D88" s="207"/>
      <c r="E88" s="208"/>
      <c r="F88" s="209"/>
      <c r="G88" s="209"/>
      <c r="H88" s="209"/>
      <c r="I88" s="210"/>
      <c r="J88" s="211"/>
      <c r="K88" s="212"/>
      <c r="L88" s="213"/>
      <c r="M88" s="210" t="str">
        <f aca="false">IF(Table14[[#This Row],[Progress %]]="","",Table14[[#This Row],[Progress %]]*Table14[[#This Row],[Value £]])</f>
        <v/>
      </c>
      <c r="N88" s="214"/>
    </row>
    <row r="89" s="204" customFormat="true" ht="65.15" hidden="false" customHeight="true" outlineLevel="0" collapsed="false">
      <c r="B89" s="230"/>
      <c r="C89" s="231" t="str">
        <f aca="false">IF(Table14[[#This Row],[Description]]="","",C88+1)</f>
        <v/>
      </c>
      <c r="D89" s="232"/>
      <c r="E89" s="233"/>
      <c r="F89" s="234"/>
      <c r="G89" s="234"/>
      <c r="H89" s="234"/>
      <c r="I89" s="235"/>
      <c r="J89" s="236"/>
      <c r="K89" s="237"/>
      <c r="L89" s="238"/>
      <c r="M89" s="235" t="str">
        <f aca="false">IF(Table14[[#This Row],[Progress %]]="","",Table14[[#This Row],[Progress %]]*Table14[[#This Row],[Value £]])</f>
        <v/>
      </c>
      <c r="N89" s="214"/>
    </row>
  </sheetData>
  <mergeCells count="2">
    <mergeCell ref="I2:J2"/>
    <mergeCell ref="C10:D10"/>
  </mergeCells>
  <conditionalFormatting sqref="F13:H47 F48:G48 F49:H1048576">
    <cfRule type="cellIs" priority="2" operator="equal" aboveAverage="0" equalAverage="0" bottom="0" percent="0" rank="0" text="" dxfId="0">
      <formula>"tbc"</formula>
    </cfRule>
  </conditionalFormatting>
  <conditionalFormatting sqref="I14:I89">
    <cfRule type="cellIs" priority="3" operator="equal" aboveAverage="0" equalAverage="0" bottom="0" percent="0" rank="0" text="" dxfId="1">
      <formula>"Agreed"</formula>
    </cfRule>
  </conditionalFormatting>
  <conditionalFormatting sqref="F14:G19 F20:F21">
    <cfRule type="expression" priority="4" aboveAverage="0" equalAverage="0" bottom="0" percent="0" rank="0" text="" dxfId="2">
      <formula>$H14="Agreed"</formula>
    </cfRule>
  </conditionalFormatting>
  <dataValidations count="2">
    <dataValidation allowBlank="true" operator="between" showDropDown="false" showErrorMessage="true" showInputMessage="true" sqref="I14:I89" type="list">
      <formula1>"Agreed,To be Agreed"</formula1>
      <formula2>0</formula2>
    </dataValidation>
    <dataValidation allowBlank="true" operator="between" showDropDown="false" showErrorMessage="true" showInputMessage="true" sqref="G14:G89" type="list">
      <formula1>"Yes,No"</formula1>
      <formula2>0</formula2>
    </dataValidation>
  </dataValidations>
  <printOptions headings="false" gridLines="false" gridLinesSet="true" horizontalCentered="true" verticalCentered="false"/>
  <pageMargins left="0.708333333333333" right="0.708333333333333" top="0.595833333333333" bottom="0.747916666666667" header="0.315277777777778" footer="0.511805555555555"/>
  <pageSetup paperSize="8" scale="100" firstPageNumber="0" fitToWidth="1" fitToHeight="0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2023-08-20T20:32:23Z</dcterms:created>
  <dc:creator>Andrew Thompson</dc:creator>
  <dc:description/>
  <dc:language>en-IN</dc:language>
  <cp:lastModifiedBy>Andy Thompson</cp:lastModifiedBy>
  <cp:lastPrinted>2024-10-01T15:29:09Z</cp:lastPrinted>
  <dcterms:modified xsi:type="dcterms:W3CDTF">2024-11-07T06:05:51Z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3.1</vt:lpwstr>
  </property>
  <property fmtid="{D5CDD505-2E9C-101B-9397-08002B2CF9AE}" pid="3" name="MSIP_Label_b6a19a3c-d4d4-4e32-a670-fc3de26ce321_ActionId">
    <vt:lpwstr>009cfd87-41ca-46dd-9184-54ce0f0fd08e</vt:lpwstr>
  </property>
  <property fmtid="{D5CDD505-2E9C-101B-9397-08002B2CF9AE}" pid="4" name="MSIP_Label_b6a19a3c-d4d4-4e32-a670-fc3de26ce321_ContentBits">
    <vt:lpwstr>2</vt:lpwstr>
  </property>
  <property fmtid="{D5CDD505-2E9C-101B-9397-08002B2CF9AE}" pid="5" name="MSIP_Label_b6a19a3c-d4d4-4e32-a670-fc3de26ce321_Enabled">
    <vt:lpwstr>true</vt:lpwstr>
  </property>
  <property fmtid="{D5CDD505-2E9C-101B-9397-08002B2CF9AE}" pid="6" name="MSIP_Label_b6a19a3c-d4d4-4e32-a670-fc3de26ce321_Method">
    <vt:lpwstr>Standard</vt:lpwstr>
  </property>
  <property fmtid="{D5CDD505-2E9C-101B-9397-08002B2CF9AE}" pid="7" name="MSIP_Label_b6a19a3c-d4d4-4e32-a670-fc3de26ce321_Name">
    <vt:lpwstr>Internal</vt:lpwstr>
  </property>
  <property fmtid="{D5CDD505-2E9C-101B-9397-08002B2CF9AE}" pid="8" name="MSIP_Label_b6a19a3c-d4d4-4e32-a670-fc3de26ce321_SetDate">
    <vt:lpwstr>2023-08-20T20:43:10Z</vt:lpwstr>
  </property>
  <property fmtid="{D5CDD505-2E9C-101B-9397-08002B2CF9AE}" pid="9" name="MSIP_Label_b6a19a3c-d4d4-4e32-a670-fc3de26ce321_SiteId">
    <vt:lpwstr>ef79b864-6cc8-4d57-9f7f-93c8ecca1fe7</vt:lpwstr>
  </property>
</Properties>
</file>