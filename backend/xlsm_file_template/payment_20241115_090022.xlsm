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jpeg" ContentType="image/jpeg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2" autoFilterDateGrouping="1"/>
  </bookViews>
  <sheets>
    <sheet xmlns:r="http://schemas.openxmlformats.org/officeDocument/2006/relationships" name="AFP Summary" sheetId="1" state="visible" r:id="rId1"/>
    <sheet xmlns:r="http://schemas.openxmlformats.org/officeDocument/2006/relationships" name="BoQ_Summary" sheetId="2" state="visible" r:id="rId2"/>
    <sheet xmlns:r="http://schemas.openxmlformats.org/officeDocument/2006/relationships" name="BoQ_Detailed " sheetId="3" state="visible" r:id="rId3"/>
    <sheet xmlns:r="http://schemas.openxmlformats.org/officeDocument/2006/relationships" name="Variation Register" sheetId="4" state="visible" r:id="rId4"/>
  </sheets>
  <externalReferences>
    <externalReference xmlns:r="http://schemas.openxmlformats.org/officeDocument/2006/relationships" r:id="rId6"/>
    <externalReference xmlns:r="http://schemas.openxmlformats.org/officeDocument/2006/relationships" r:id="rId7"/>
  </externalReferences>
  <definedNames>
    <definedName name="Description" hidden="0" function="0" vbProcedure="0">'[1]Daywork Rates'!$B$1:$B$1048576</definedName>
    <definedName name="LabourList1" hidden="0" function="0" vbProcedure="0">'[2]Daywork Rates'!$B$1:$B$1048576</definedName>
    <definedName name="PlantList" hidden="0" function="0" vbProcedure="0">'[1]Daywork Rates'!$G$1:$G$1048576</definedName>
    <definedName name="PlantList1" hidden="0" function="0" vbProcedure="0">'[2]Daywork Rates'!$G$1:$G$1048576</definedName>
    <definedName name="_xlnm.Print_Area" localSheetId="0">'AFP Summary'!$A$1:$J$39</definedName>
    <definedName name="_xlnm.Print_Area" localSheetId="1">'BoQ_Summary'!$A$1:$K$12</definedName>
    <definedName name="_xlnm.Print_Titles" localSheetId="3">'Variation Register'!$1:$13</definedName>
    <definedName name="_xlnm.Print_Area" localSheetId="3">'Variation Register'!$A$1:$O$90</definedName>
  </definedNames>
  <calcPr calcId="124519" fullCalcOnLoad="1" refMode="A1" iterate="0" iterateCount="100" iterateDelta="0.0001"/>
  <pivotCaches>
    <pivotCache xmlns:r="http://schemas.openxmlformats.org/officeDocument/2006/relationships" cacheId="1" r:id="rId5"/>
  </pivotCaches>
</workbook>
</file>

<file path=xl/styles.xml><?xml version="1.0" encoding="utf-8"?>
<styleSheet xmlns="http://schemas.openxmlformats.org/spreadsheetml/2006/main">
  <numFmts count="16">
    <numFmt numFmtId="164" formatCode="_-\£* #,##0.00_-;&quot;-£&quot;* #,##0.00_-;_-\£* \-??_-;_-@_-"/>
    <numFmt numFmtId="165" formatCode="00000\-0000"/>
    <numFmt numFmtId="166" formatCode="&quot;00&quot;0"/>
    <numFmt numFmtId="167" formatCode="[$-F800]dddd&quot;, &quot;mmmm\ dd&quot;, &quot;yyyy"/>
    <numFmt numFmtId="168" formatCode="[$€-2]\ #,##0.00"/>
    <numFmt numFmtId="169" formatCode="_-\£* #,##0_-;&quot;-£&quot;* #,##0_-;_-\£* \-??_-;_-@_-"/>
    <numFmt numFmtId="170" formatCode="\£#,##0"/>
    <numFmt numFmtId="171" formatCode="0&quot; no.&quot;"/>
    <numFmt numFmtId="172" formatCode="0.0%"/>
    <numFmt numFmtId="173" formatCode="\£#,##0.00"/>
    <numFmt numFmtId="174" formatCode="0.000"/>
    <numFmt numFmtId="175" formatCode="0.000&quot; tn&quot;"/>
    <numFmt numFmtId="176" formatCode="0&quot; KG&quot;"/>
    <numFmt numFmtId="177" formatCode="0&quot; kg&quot;"/>
    <numFmt numFmtId="178" formatCode="&quot;SI &quot;0"/>
    <numFmt numFmtId="179" formatCode="&quot;SI 0&quot;0"/>
  </numFmts>
  <fonts count="62">
    <font>
      <name val="Calibri"/>
      <charset val="1"/>
      <family val="2"/>
      <color rgb="FF000000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Calibri"/>
      <charset val="1"/>
      <family val="2"/>
      <b val="1"/>
      <color rgb="FF000000"/>
      <sz val="11"/>
    </font>
    <font>
      <name val="Arial Nova"/>
      <charset val="1"/>
      <family val="2"/>
      <color rgb="FF000000"/>
      <sz val="10"/>
    </font>
    <font>
      <name val="Arial Nova"/>
      <charset val="1"/>
      <family val="2"/>
      <color rgb="FF000000"/>
      <sz val="28"/>
    </font>
    <font>
      <name val="Arial Nova"/>
      <charset val="1"/>
      <family val="2"/>
      <color rgb="FFE32827"/>
      <sz val="18"/>
    </font>
    <font>
      <name val="Arial Nova"/>
      <charset val="1"/>
      <family val="2"/>
      <color rgb="FF000000"/>
      <sz val="16"/>
    </font>
    <font>
      <name val="Arial Nova"/>
      <charset val="1"/>
      <family val="2"/>
      <color rgb="FF8D8E8E"/>
      <sz val="18"/>
    </font>
    <font>
      <name val="Arial Nova"/>
      <charset val="1"/>
      <family val="2"/>
      <color rgb="FF262628"/>
      <sz val="10"/>
    </font>
    <font>
      <name val="Arial Nova"/>
      <charset val="1"/>
      <family val="2"/>
      <color rgb="FF262628"/>
      <sz val="12"/>
    </font>
    <font>
      <name val="Arial Nova"/>
      <charset val="1"/>
      <family val="2"/>
      <b val="1"/>
      <color rgb="FF262628"/>
      <sz val="11"/>
    </font>
    <font>
      <name val="Arial Nova"/>
      <charset val="1"/>
      <family val="2"/>
      <color rgb="FFE32827"/>
      <sz val="11"/>
    </font>
    <font>
      <name val="Arial Nova"/>
      <charset val="1"/>
      <family val="2"/>
      <color rgb="FF203864"/>
      <sz val="10"/>
    </font>
    <font>
      <name val="Arial Nova"/>
      <charset val="1"/>
      <family val="2"/>
      <color rgb="FF262628"/>
      <sz val="11"/>
    </font>
    <font>
      <name val="Arial Nova"/>
      <charset val="1"/>
      <family val="2"/>
      <color rgb="FF065A98"/>
      <sz val="11"/>
    </font>
    <font>
      <name val="Arial Nova"/>
      <charset val="1"/>
      <family val="2"/>
      <b val="1"/>
      <color rgb="FFFFFFFF"/>
      <sz val="11"/>
    </font>
    <font>
      <name val="Arial Nova"/>
      <charset val="1"/>
      <family val="2"/>
      <b val="1"/>
      <color rgb="FF0D0D0D"/>
      <sz val="10"/>
    </font>
    <font>
      <name val="Arial Nova"/>
      <charset val="1"/>
      <family val="2"/>
      <color rgb="FF0D0D0D"/>
      <sz val="11"/>
    </font>
    <font>
      <name val="Arial Nova"/>
      <charset val="1"/>
      <family val="2"/>
      <color rgb="FF0D0D0D"/>
      <sz val="9"/>
    </font>
    <font>
      <name val="Arial Nova"/>
      <charset val="1"/>
      <family val="2"/>
      <color rgb="FF0D0D0D"/>
      <sz val="10"/>
    </font>
    <font>
      <name val="Arial Nova"/>
      <charset val="1"/>
      <family val="2"/>
      <b val="1"/>
      <color rgb="FF203864"/>
      <sz val="10"/>
    </font>
    <font>
      <name val="Arial Nova"/>
      <charset val="1"/>
      <family val="2"/>
      <b val="1"/>
      <color rgb="FF000000"/>
      <sz val="10"/>
    </font>
    <font>
      <name val="Arial Nova"/>
      <charset val="1"/>
      <family val="2"/>
      <b val="1"/>
      <color rgb="FF000000"/>
      <sz val="11"/>
    </font>
    <font>
      <name val="Arial Nova"/>
      <charset val="1"/>
      <family val="2"/>
      <b val="1"/>
      <color rgb="FF000000"/>
      <sz val="9"/>
    </font>
    <font>
      <name val="Arial Nova"/>
      <charset val="1"/>
      <family val="2"/>
      <color rgb="FF203864"/>
      <sz val="9"/>
    </font>
    <font>
      <name val="Arial Nova"/>
      <charset val="1"/>
      <family val="2"/>
      <color rgb="FFFFFFFF"/>
      <sz val="13"/>
    </font>
    <font>
      <name val="Arial Nova"/>
      <charset val="1"/>
      <family val="2"/>
      <color rgb="FFFFFFFF"/>
      <sz val="14"/>
    </font>
    <font>
      <name val="Arial Narrow"/>
      <charset val="1"/>
      <family val="2"/>
      <color rgb="FF000000"/>
      <sz val="11"/>
    </font>
    <font>
      <name val="Arial Nova"/>
      <charset val="1"/>
      <family val="2"/>
      <b val="1"/>
      <color rgb="FF000000"/>
      <sz val="12"/>
    </font>
    <font>
      <name val="Arial Narrow"/>
      <charset val="1"/>
      <family val="2"/>
      <b val="1"/>
      <color rgb="FFFFFFFF"/>
      <sz val="10"/>
    </font>
    <font>
      <name val="Arial Narrow"/>
      <charset val="1"/>
      <family val="2"/>
      <b val="1"/>
      <color rgb="FF030303"/>
      <sz val="10"/>
    </font>
    <font>
      <name val="Arial Narrow"/>
      <charset val="1"/>
      <family val="2"/>
      <sz val="10"/>
    </font>
    <font>
      <name val="Arial Narrow"/>
      <charset val="1"/>
      <family val="2"/>
      <color rgb="FF030303"/>
      <sz val="10"/>
    </font>
    <font>
      <name val="Arial Narrow"/>
      <charset val="1"/>
      <family val="2"/>
      <b val="1"/>
      <color rgb="FF000000"/>
      <sz val="11"/>
    </font>
    <font>
      <name val="Arial Narrow"/>
      <charset val="1"/>
      <family val="2"/>
      <b val="1"/>
      <color rgb="FFFFFFFF"/>
      <sz val="11"/>
    </font>
    <font>
      <name val="Ariasl"/>
      <charset val="1"/>
      <family val="0"/>
      <b val="1"/>
      <color rgb="FF000000"/>
      <sz val="11"/>
    </font>
    <font>
      <name val="Ariasl"/>
      <charset val="1"/>
      <family val="0"/>
      <color rgb="FF000000"/>
      <sz val="11"/>
    </font>
    <font>
      <name val="Ariasl"/>
      <charset val="1"/>
      <family val="0"/>
      <color rgb="FF000000"/>
      <sz val="16"/>
    </font>
    <font>
      <name val="Arial Narrow"/>
      <charset val="1"/>
      <family val="2"/>
      <b val="1"/>
      <color rgb="FF000000"/>
      <sz val="10"/>
    </font>
    <font>
      <name val="Arial Narrow"/>
      <charset val="1"/>
      <family val="2"/>
      <color rgb="FF000000"/>
      <sz val="10"/>
    </font>
    <font>
      <name val="Ariasl"/>
      <charset val="1"/>
      <family val="0"/>
      <i val="1"/>
      <color rgb="FF000000"/>
      <sz val="26"/>
    </font>
    <font>
      <name val="Ariasl"/>
      <charset val="1"/>
      <family val="0"/>
      <b val="1"/>
      <i val="1"/>
      <color rgb="FF000000"/>
      <sz val="26"/>
    </font>
    <font>
      <name val="Arial"/>
      <charset val="1"/>
      <family val="2"/>
      <color rgb="FF000000"/>
      <sz val="9"/>
    </font>
    <font>
      <name val="Arial Nova"/>
      <charset val="1"/>
      <family val="2"/>
      <b val="1"/>
      <color rgb="FFFFFFFF"/>
      <sz val="22"/>
    </font>
    <font>
      <name val="Arial"/>
      <charset val="1"/>
      <family val="2"/>
      <b val="1"/>
      <color rgb="FFFFFFFF"/>
      <sz val="22"/>
    </font>
    <font>
      <name val="Arial Nova"/>
      <charset val="1"/>
      <family val="2"/>
      <color rgb="FF262628"/>
      <sz val="20"/>
    </font>
    <font>
      <name val="Arial Nova"/>
      <charset val="1"/>
      <family val="2"/>
      <b val="1"/>
      <color rgb="FF065A98"/>
      <sz val="22"/>
    </font>
    <font>
      <name val="Arial Nova"/>
      <charset val="1"/>
      <family val="2"/>
      <color rgb="FF000000"/>
      <sz val="22"/>
    </font>
    <font>
      <name val="Arial"/>
      <charset val="1"/>
      <family val="2"/>
      <b val="1"/>
      <color rgb="FF000000"/>
      <sz val="22"/>
    </font>
    <font>
      <name val="Arial"/>
      <charset val="1"/>
      <family val="2"/>
      <b val="1"/>
      <color rgb="FF394AA9"/>
      <sz val="48"/>
    </font>
    <font>
      <name val="Arial"/>
      <charset val="1"/>
      <family val="2"/>
      <b val="1"/>
      <color rgb="FF000000"/>
      <sz val="48"/>
    </font>
    <font>
      <name val="Arial Nova"/>
      <charset val="1"/>
      <family val="2"/>
      <color rgb="FF8D8E8E"/>
      <sz val="22"/>
    </font>
    <font>
      <name val="Arial"/>
      <charset val="1"/>
      <family val="2"/>
      <color rgb="FF000000"/>
      <sz val="16"/>
    </font>
    <font>
      <name val="Arial Nova"/>
      <charset val="1"/>
      <family val="2"/>
      <color rgb="FF262628"/>
      <sz val="22"/>
    </font>
    <font>
      <name val="Arial Nova"/>
      <charset val="1"/>
      <family val="2"/>
      <color rgb="FFFFFFFF"/>
      <sz val="22"/>
    </font>
    <font>
      <name val="Arial"/>
      <charset val="1"/>
      <family val="2"/>
      <color rgb="FF000000"/>
      <sz val="18"/>
    </font>
    <font>
      <name val="Arial Narrow"/>
      <charset val="1"/>
      <family val="2"/>
      <color rgb="FF000000"/>
      <sz val="24"/>
    </font>
    <font>
      <name val="Arial Narrow"/>
      <charset val="1"/>
      <family val="2"/>
      <sz val="24"/>
    </font>
    <font>
      <name val="Arial Narrow"/>
      <charset val="1"/>
      <family val="2"/>
      <i val="1"/>
      <color rgb="FFFF0000"/>
      <sz val="24"/>
    </font>
    <font>
      <name val="Arial Narrow"/>
      <charset val="1"/>
      <family val="2"/>
      <color rgb="FFFF0000"/>
      <sz val="24"/>
    </font>
  </fonts>
  <fills count="9">
    <fill>
      <patternFill/>
    </fill>
    <fill>
      <patternFill patternType="gray125"/>
    </fill>
    <fill>
      <patternFill patternType="solid">
        <fgColor rgb="FF065A98"/>
        <bgColor rgb="FF008080"/>
      </patternFill>
    </fill>
    <fill>
      <patternFill patternType="solid">
        <fgColor rgb="FF8D8E8E"/>
        <bgColor rgb="FF808080"/>
      </patternFill>
    </fill>
    <fill>
      <patternFill patternType="solid">
        <fgColor rgb="FFFFFFFF"/>
        <bgColor rgb="FFF2F2F2"/>
      </patternFill>
    </fill>
    <fill>
      <patternFill patternType="solid">
        <fgColor rgb="FFE32827"/>
        <bgColor rgb="FFFF0000"/>
      </patternFill>
    </fill>
    <fill>
      <patternFill patternType="solid">
        <fgColor rgb="FFFF0000"/>
        <bgColor rgb="FFE32827"/>
      </patternFill>
    </fill>
    <fill>
      <patternFill patternType="solid">
        <fgColor rgb="FFF2F2F2"/>
        <bgColor rgb="FFFFFFFF"/>
      </patternFill>
    </fill>
    <fill>
      <patternFill patternType="solid">
        <fgColor rgb="FF808080"/>
        <bgColor rgb="FF8D8E8E"/>
      </patternFill>
    </fill>
  </fills>
  <borders count="26">
    <border>
      <left/>
      <right/>
      <top/>
      <bottom/>
      <diagonal/>
    </border>
    <border>
      <left/>
      <right/>
      <top/>
      <bottom style="medium">
        <color rgb="FF8D8E8E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8D8E8E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medium">
        <color rgb="FF8D8E8E"/>
      </bottom>
      <diagonal/>
    </border>
    <border>
      <left/>
      <right/>
      <top/>
      <bottom style="thin">
        <color rgb="FFD9D9D9"/>
      </bottom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medium">
        <color rgb="FFFF0000"/>
      </bottom>
      <diagonal/>
    </border>
    <border>
      <left/>
      <right/>
      <top style="medium">
        <color rgb="FF808080"/>
      </top>
      <bottom style="medium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F2F2F2"/>
      </bottom>
      <diagonal/>
    </border>
    <border>
      <left style="thin">
        <color rgb="FF808080"/>
      </left>
      <right style="thin">
        <color rgb="FF808080"/>
      </right>
      <top style="thin">
        <color rgb="FFF2F2F2"/>
      </top>
      <bottom style="thin">
        <color rgb="FFF2F2F2"/>
      </bottom>
      <diagonal/>
    </border>
    <border>
      <left style="thin">
        <color rgb="FF181717"/>
      </left>
      <right style="thin">
        <color rgb="FF181717"/>
      </right>
      <top style="thin">
        <color rgb="FF181717"/>
      </top>
      <bottom style="thin">
        <color rgb="FF181717"/>
      </bottom>
      <diagonal/>
    </border>
    <border>
      <left/>
      <right style="thin">
        <color rgb="FF181717"/>
      </right>
      <top/>
      <bottom/>
      <diagonal/>
    </border>
    <border>
      <left style="thin">
        <color rgb="FF181717"/>
      </left>
      <right style="thin">
        <color rgb="FF181717"/>
      </right>
      <top/>
      <bottom/>
      <diagonal/>
    </border>
    <border>
      <left style="thin">
        <color rgb="FF181717"/>
      </left>
      <right/>
      <top/>
      <bottom/>
      <diagonal/>
    </border>
    <border>
      <left style="medium"/>
      <right style="thin"/>
      <top style="medium"/>
      <bottom style="thin"/>
      <diagonal/>
    </border>
    <border>
      <left style="thin"/>
      <right style="medium"/>
      <top style="medium"/>
      <bottom style="thin"/>
      <diagonal/>
    </border>
    <border>
      <left style="medium"/>
      <right style="thin"/>
      <top style="thin"/>
      <bottom style="medium"/>
      <diagonal/>
    </border>
    <border>
      <left style="thin"/>
      <right style="medium"/>
      <top style="thin"/>
      <bottom style="medium"/>
      <diagonal/>
    </border>
    <border>
      <left/>
      <right/>
      <top style="medium">
        <color rgb="FF808080"/>
      </top>
      <bottom style="thin">
        <color rgb="FFF2F2F2"/>
      </bottom>
      <diagonal/>
    </border>
    <border>
      <left/>
      <right/>
      <top style="thin">
        <color rgb="FFF2F2F2"/>
      </top>
      <bottom style="thin">
        <color rgb="FFF2F2F2"/>
      </bottom>
      <diagonal/>
    </border>
    <border>
      <left/>
      <right/>
      <top style="thin">
        <color rgb="FFF2F2F2"/>
      </top>
      <bottom style="medium">
        <color rgb="FF808080"/>
      </bottom>
      <diagonal/>
    </border>
    <border>
      <left/>
      <right/>
      <top style="medium">
        <color rgb="FFFF0000"/>
      </top>
      <bottom/>
      <diagonal/>
    </border>
    <border>
      <left/>
      <right/>
      <top style="medium">
        <color rgb="FF8D8E8E"/>
      </top>
      <bottom/>
      <diagonal/>
    </border>
    <border>
      <left/>
      <right/>
      <top style="medium">
        <color rgb="FF808080"/>
      </top>
      <bottom/>
      <diagonal/>
    </border>
  </borders>
  <cellStyleXfs count="12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0" fillId="0" borderId="0" applyAlignment="1">
      <alignment horizontal="general" vertical="bottom"/>
    </xf>
    <xf numFmtId="0" fontId="0" fillId="0" borderId="0" applyAlignment="1">
      <alignment horizontal="left" vertical="bottom"/>
    </xf>
    <xf numFmtId="0" fontId="0" fillId="0" borderId="0" applyAlignment="1">
      <alignment horizontal="general" vertical="bottom"/>
    </xf>
    <xf numFmtId="0" fontId="0" fillId="0" borderId="0" applyAlignment="1">
      <alignment horizontal="general" vertical="bottom"/>
    </xf>
    <xf numFmtId="0" fontId="4" fillId="0" borderId="0" applyAlignment="1">
      <alignment horizontal="general" vertical="bottom"/>
    </xf>
    <xf numFmtId="0" fontId="4" fillId="0" borderId="0" applyAlignment="1">
      <alignment horizontal="left" vertical="bottom"/>
    </xf>
    <xf numFmtId="0" fontId="0" fillId="0" borderId="0" applyAlignment="1">
      <alignment horizontal="general" vertical="bottom"/>
    </xf>
  </cellStyleXfs>
  <cellXfs count="480">
    <xf numFmtId="0" fontId="0" fillId="0" borderId="0" applyAlignment="1" pivotButton="0" quotePrefix="0" xfId="0">
      <alignment horizontal="general" vertical="bottom"/>
    </xf>
    <xf numFmtId="0" fontId="5" fillId="0" borderId="0" applyAlignment="1" pivotButton="0" quotePrefix="0" xfId="0">
      <alignment horizontal="general" vertical="center"/>
    </xf>
    <xf numFmtId="0" fontId="5" fillId="0" borderId="0" applyAlignment="1" pivotButton="0" quotePrefix="0" xfId="0">
      <alignment horizontal="left" vertical="center"/>
    </xf>
    <xf numFmtId="164" fontId="5" fillId="0" borderId="0" applyAlignment="1" pivotButton="0" quotePrefix="0" xfId="0">
      <alignment horizontal="left" vertical="center"/>
    </xf>
    <xf numFmtId="9" fontId="5" fillId="0" borderId="0" applyAlignment="1" pivotButton="0" quotePrefix="0" xfId="19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6" fillId="0" borderId="0" applyAlignment="1" pivotButton="0" quotePrefix="0" xfId="0">
      <alignment horizontal="left" vertical="center"/>
    </xf>
    <xf numFmtId="0" fontId="7" fillId="0" borderId="0" applyAlignment="1" pivotButton="0" quotePrefix="0" xfId="0">
      <alignment horizontal="left" vertical="center"/>
    </xf>
    <xf numFmtId="0" fontId="8" fillId="0" borderId="0" applyAlignment="1" pivotButton="0" quotePrefix="0" xfId="0">
      <alignment horizontal="left" vertical="center"/>
    </xf>
    <xf numFmtId="0" fontId="9" fillId="0" borderId="0" applyAlignment="1" pivotButton="0" quotePrefix="0" xfId="0">
      <alignment horizontal="left" vertical="center"/>
    </xf>
    <xf numFmtId="164" fontId="8" fillId="0" borderId="0" applyAlignment="1" pivotButton="0" quotePrefix="0" xfId="0">
      <alignment horizontal="left" vertical="center"/>
    </xf>
    <xf numFmtId="0" fontId="10" fillId="0" borderId="0" applyAlignment="1" pivotButton="0" quotePrefix="0" xfId="0">
      <alignment horizontal="left" vertical="center"/>
    </xf>
    <xf numFmtId="165" fontId="10" fillId="0" borderId="0" applyAlignment="1" pivotButton="0" quotePrefix="0" xfId="0">
      <alignment horizontal="left" vertical="center"/>
    </xf>
    <xf numFmtId="0" fontId="10" fillId="0" borderId="1" applyAlignment="1" pivotButton="0" quotePrefix="0" xfId="0">
      <alignment horizontal="left" vertical="center"/>
    </xf>
    <xf numFmtId="0" fontId="5" fillId="0" borderId="1" applyAlignment="1" pivotButton="0" quotePrefix="0" xfId="0">
      <alignment horizontal="left" vertical="center"/>
    </xf>
    <xf numFmtId="164" fontId="5" fillId="0" borderId="1" applyAlignment="1" pivotButton="0" quotePrefix="0" xfId="0">
      <alignment horizontal="left" vertical="center"/>
    </xf>
    <xf numFmtId="0" fontId="11" fillId="0" borderId="0" applyAlignment="1" pivotButton="0" quotePrefix="0" xfId="0">
      <alignment horizontal="left" vertical="center"/>
    </xf>
    <xf numFmtId="0" fontId="12" fillId="0" borderId="2" applyAlignment="1" pivotButton="0" quotePrefix="0" xfId="0">
      <alignment horizontal="center" vertical="center"/>
    </xf>
    <xf numFmtId="166" fontId="13" fillId="0" borderId="2" applyAlignment="1" pivotButton="0" quotePrefix="0" xfId="0">
      <alignment horizontal="left" vertical="center" indent="15"/>
    </xf>
    <xf numFmtId="164" fontId="14" fillId="0" borderId="0" applyAlignment="1" pivotButton="0" quotePrefix="0" xfId="0">
      <alignment horizontal="center" vertical="center"/>
    </xf>
    <xf numFmtId="0" fontId="15" fillId="0" borderId="3" applyAlignment="1" pivotButton="0" quotePrefix="0" xfId="0">
      <alignment horizontal="center" vertical="center"/>
    </xf>
    <xf numFmtId="0" fontId="15" fillId="0" borderId="3" applyAlignment="1" pivotButton="0" quotePrefix="0" xfId="0">
      <alignment horizontal="left" vertical="center" indent="15"/>
    </xf>
    <xf numFmtId="167" fontId="13" fillId="0" borderId="3" applyAlignment="1" pivotButton="0" quotePrefix="0" xfId="0">
      <alignment horizontal="center" vertical="center"/>
    </xf>
    <xf numFmtId="167" fontId="16" fillId="0" borderId="0" applyAlignment="1" pivotButton="0" quotePrefix="0" xfId="0">
      <alignment horizontal="right" vertical="center"/>
    </xf>
    <xf numFmtId="0" fontId="14" fillId="0" borderId="0" applyAlignment="1" pivotButton="0" quotePrefix="0" xfId="0">
      <alignment horizontal="general" vertical="center"/>
    </xf>
    <xf numFmtId="0" fontId="15" fillId="0" borderId="0" applyAlignment="1" pivotButton="0" quotePrefix="0" xfId="0">
      <alignment horizontal="left" vertical="top"/>
    </xf>
    <xf numFmtId="0" fontId="15" fillId="0" borderId="0" applyAlignment="1" pivotButton="0" quotePrefix="0" xfId="0">
      <alignment horizontal="left" vertical="center" indent="15"/>
    </xf>
    <xf numFmtId="0" fontId="15" fillId="0" borderId="0" applyAlignment="1" pivotButton="0" quotePrefix="0" xfId="0">
      <alignment horizontal="center" vertical="center"/>
    </xf>
    <xf numFmtId="164" fontId="14" fillId="0" borderId="0" applyAlignment="1" pivotButton="0" quotePrefix="0" xfId="0">
      <alignment horizontal="left" vertical="center"/>
    </xf>
    <xf numFmtId="0" fontId="15" fillId="0" borderId="4" applyAlignment="1" pivotButton="0" quotePrefix="0" xfId="0">
      <alignment horizontal="center" vertical="center"/>
    </xf>
    <xf numFmtId="0" fontId="15" fillId="0" borderId="4" applyAlignment="1" pivotButton="0" quotePrefix="0" xfId="0">
      <alignment horizontal="left" vertical="center"/>
    </xf>
    <xf numFmtId="166" fontId="13" fillId="0" borderId="4" applyAlignment="1" pivotButton="0" quotePrefix="0" xfId="0">
      <alignment horizontal="center" vertical="center"/>
    </xf>
    <xf numFmtId="166" fontId="16" fillId="0" borderId="0" applyAlignment="1" pivotButton="0" quotePrefix="0" xfId="0">
      <alignment horizontal="right" vertical="center"/>
    </xf>
    <xf numFmtId="0" fontId="15" fillId="0" borderId="0" applyAlignment="1" pivotButton="0" quotePrefix="0" xfId="0">
      <alignment horizontal="left" vertical="center"/>
    </xf>
    <xf numFmtId="0" fontId="14" fillId="0" borderId="0" applyAlignment="1" pivotButton="0" quotePrefix="0" xfId="0">
      <alignment horizontal="left" vertical="center" indent="15"/>
    </xf>
    <xf numFmtId="0" fontId="15" fillId="0" borderId="4" applyAlignment="1" pivotButton="0" quotePrefix="0" xfId="0">
      <alignment horizontal="left" vertical="center" indent="15"/>
    </xf>
    <xf numFmtId="167" fontId="13" fillId="0" borderId="4" applyAlignment="1" pivotButton="0" quotePrefix="0" xfId="0">
      <alignment horizontal="center" vertical="center"/>
    </xf>
    <xf numFmtId="167" fontId="13" fillId="0" borderId="4" applyAlignment="1" pivotButton="0" quotePrefix="0" xfId="0">
      <alignment horizontal="right" vertical="center" indent="15"/>
    </xf>
    <xf numFmtId="0" fontId="15" fillId="0" borderId="1" applyAlignment="1" pivotButton="0" quotePrefix="0" xfId="0">
      <alignment horizontal="left" vertical="center" indent="15"/>
    </xf>
    <xf numFmtId="0" fontId="14" fillId="0" borderId="1" applyAlignment="1" pivotButton="0" quotePrefix="0" xfId="0">
      <alignment horizontal="left" vertical="center" indent="15"/>
    </xf>
    <xf numFmtId="0" fontId="15" fillId="0" borderId="5" applyAlignment="1" pivotButton="0" quotePrefix="0" xfId="0">
      <alignment horizontal="center" vertical="center"/>
    </xf>
    <xf numFmtId="0" fontId="15" fillId="0" borderId="5" applyAlignment="1" pivotButton="0" quotePrefix="0" xfId="0">
      <alignment horizontal="left" vertical="center" indent="15"/>
    </xf>
    <xf numFmtId="167" fontId="13" fillId="0" borderId="5" applyAlignment="1" pivotButton="0" quotePrefix="0" xfId="0">
      <alignment horizontal="right" vertical="center" indent="15"/>
    </xf>
    <xf numFmtId="0" fontId="14" fillId="2" borderId="0" applyAlignment="1" pivotButton="0" quotePrefix="0" xfId="0">
      <alignment horizontal="general" vertical="center"/>
    </xf>
    <xf numFmtId="0" fontId="14" fillId="0" borderId="0" applyAlignment="1" pivotButton="0" quotePrefix="0" xfId="0">
      <alignment horizontal="left" vertical="center"/>
    </xf>
    <xf numFmtId="0" fontId="17" fillId="3" borderId="0" applyAlignment="1" pivotButton="0" quotePrefix="0" xfId="0">
      <alignment horizontal="center" vertical="center"/>
    </xf>
    <xf numFmtId="0" fontId="17" fillId="3" borderId="0" applyAlignment="1" pivotButton="0" quotePrefix="0" xfId="0">
      <alignment horizontal="left" vertical="center"/>
    </xf>
    <xf numFmtId="164" fontId="17" fillId="3" borderId="0" applyAlignment="1" pivotButton="0" quotePrefix="0" xfId="0">
      <alignment horizontal="left" vertical="center"/>
    </xf>
    <xf numFmtId="9" fontId="17" fillId="3" borderId="0" applyAlignment="1" pivotButton="0" quotePrefix="0" xfId="19">
      <alignment horizontal="center" vertical="center"/>
    </xf>
    <xf numFmtId="164" fontId="17" fillId="3" borderId="0" applyAlignment="1" pivotButton="0" quotePrefix="0" xfId="0">
      <alignment horizontal="center" vertical="center"/>
    </xf>
    <xf numFmtId="168" fontId="17" fillId="3" borderId="0" applyAlignment="1" pivotButton="0" quotePrefix="0" xfId="0">
      <alignment horizontal="center" vertical="center"/>
    </xf>
    <xf numFmtId="0" fontId="18" fillId="4" borderId="6" applyAlignment="1" pivotButton="0" quotePrefix="0" xfId="0">
      <alignment horizontal="center" vertical="center" wrapText="1"/>
    </xf>
    <xf numFmtId="1" fontId="19" fillId="0" borderId="6" applyAlignment="1" pivotButton="0" quotePrefix="0" xfId="0">
      <alignment horizontal="left" vertical="center" wrapText="1"/>
    </xf>
    <xf numFmtId="0" fontId="19" fillId="4" borderId="6" applyAlignment="1" pivotButton="0" quotePrefix="0" xfId="0">
      <alignment horizontal="left" vertical="center"/>
    </xf>
    <xf numFmtId="169" fontId="19" fillId="4" borderId="6" applyAlignment="1" pivotButton="0" quotePrefix="0" xfId="0">
      <alignment horizontal="left" vertical="center"/>
    </xf>
    <xf numFmtId="9" fontId="19" fillId="4" borderId="6" applyAlignment="1" pivotButton="0" quotePrefix="0" xfId="19">
      <alignment horizontal="center" vertical="center"/>
    </xf>
    <xf numFmtId="0" fontId="20" fillId="4" borderId="6" applyAlignment="1" pivotButton="0" quotePrefix="0" xfId="0">
      <alignment horizontal="left" vertical="center" wrapText="1" indent="15"/>
    </xf>
    <xf numFmtId="1" fontId="19" fillId="0" borderId="4" applyAlignment="1" pivotButton="0" quotePrefix="0" xfId="0">
      <alignment horizontal="left" vertical="center" wrapText="1"/>
    </xf>
    <xf numFmtId="0" fontId="19" fillId="0" borderId="4" applyAlignment="1" pivotButton="0" quotePrefix="0" xfId="0">
      <alignment horizontal="left" vertical="center"/>
    </xf>
    <xf numFmtId="0" fontId="19" fillId="4" borderId="4" applyAlignment="1" pivotButton="0" quotePrefix="0" xfId="0">
      <alignment horizontal="left" vertical="center" wrapText="1"/>
    </xf>
    <xf numFmtId="0" fontId="19" fillId="4" borderId="4" applyAlignment="1" pivotButton="0" quotePrefix="0" xfId="0">
      <alignment horizontal="left" vertical="center"/>
    </xf>
    <xf numFmtId="0" fontId="19" fillId="0" borderId="4" applyAlignment="1" pivotButton="0" quotePrefix="0" xfId="0">
      <alignment horizontal="left" vertical="center" wrapText="1"/>
    </xf>
    <xf numFmtId="0" fontId="19" fillId="0" borderId="7" applyAlignment="1" pivotButton="0" quotePrefix="0" xfId="0">
      <alignment horizontal="left" vertical="center" wrapText="1"/>
    </xf>
    <xf numFmtId="0" fontId="19" fillId="0" borderId="7" applyAlignment="1" pivotButton="0" quotePrefix="0" xfId="0">
      <alignment horizontal="left" vertical="center"/>
    </xf>
    <xf numFmtId="0" fontId="20" fillId="0" borderId="7" applyAlignment="1" pivotButton="0" quotePrefix="0" xfId="0">
      <alignment horizontal="center" vertical="center" wrapText="1"/>
    </xf>
    <xf numFmtId="164" fontId="19" fillId="4" borderId="6" applyAlignment="1" pivotButton="0" quotePrefix="0" xfId="0">
      <alignment horizontal="left" vertical="center"/>
    </xf>
    <xf numFmtId="164" fontId="19" fillId="0" borderId="7" applyAlignment="1" pivotButton="0" quotePrefix="0" xfId="0">
      <alignment horizontal="left" vertical="center"/>
    </xf>
    <xf numFmtId="0" fontId="19" fillId="4" borderId="8" applyAlignment="1" pivotButton="0" quotePrefix="0" xfId="0">
      <alignment horizontal="left" vertical="center"/>
    </xf>
    <xf numFmtId="164" fontId="19" fillId="4" borderId="8" applyAlignment="1" pivotButton="0" quotePrefix="0" xfId="0">
      <alignment horizontal="left" vertical="center"/>
    </xf>
    <xf numFmtId="0" fontId="21" fillId="4" borderId="8" applyAlignment="1" pivotButton="0" quotePrefix="0" xfId="0">
      <alignment horizontal="left" vertical="center" wrapText="1"/>
    </xf>
    <xf numFmtId="0" fontId="22" fillId="0" borderId="0" applyAlignment="1" pivotButton="0" quotePrefix="0" xfId="0">
      <alignment horizontal="general" vertical="center"/>
    </xf>
    <xf numFmtId="0" fontId="23" fillId="4" borderId="2" applyAlignment="1" pivotButton="0" quotePrefix="0" xfId="0">
      <alignment horizontal="left" vertical="center" wrapText="1"/>
    </xf>
    <xf numFmtId="0" fontId="23" fillId="4" borderId="2" applyAlignment="1" pivotButton="0" quotePrefix="0" xfId="0">
      <alignment horizontal="left" vertical="center"/>
    </xf>
    <xf numFmtId="168" fontId="24" fillId="4" borderId="2" applyAlignment="1" pivotButton="0" quotePrefix="0" xfId="0">
      <alignment horizontal="left" vertical="center"/>
    </xf>
    <xf numFmtId="170" fontId="23" fillId="4" borderId="2" applyAlignment="1" pivotButton="0" quotePrefix="0" xfId="0">
      <alignment horizontal="center" vertical="center"/>
    </xf>
    <xf numFmtId="9" fontId="24" fillId="4" borderId="2" applyAlignment="1" pivotButton="0" quotePrefix="0" xfId="19">
      <alignment horizontal="left" vertical="center"/>
    </xf>
    <xf numFmtId="0" fontId="25" fillId="4" borderId="2" applyAlignment="1" pivotButton="0" quotePrefix="0" xfId="0">
      <alignment horizontal="center" vertical="center" wrapText="1"/>
    </xf>
    <xf numFmtId="0" fontId="14" fillId="4" borderId="0" applyAlignment="1" pivotButton="0" quotePrefix="0" xfId="0">
      <alignment horizontal="left" vertical="center"/>
    </xf>
    <xf numFmtId="171" fontId="14" fillId="4" borderId="0" applyAlignment="1" pivotButton="0" quotePrefix="0" xfId="0">
      <alignment horizontal="left" vertical="center"/>
    </xf>
    <xf numFmtId="164" fontId="14" fillId="4" borderId="0" applyAlignment="1" pivotButton="0" quotePrefix="0" xfId="0">
      <alignment horizontal="right" vertical="center"/>
    </xf>
    <xf numFmtId="9" fontId="14" fillId="4" borderId="1" applyAlignment="1" pivotButton="0" quotePrefix="0" xfId="19">
      <alignment horizontal="center" vertical="center"/>
    </xf>
    <xf numFmtId="168" fontId="14" fillId="4" borderId="1" applyAlignment="1" pivotButton="0" quotePrefix="0" xfId="0">
      <alignment horizontal="center" vertical="center"/>
    </xf>
    <xf numFmtId="0" fontId="26" fillId="4" borderId="1" applyAlignment="1" pivotButton="0" quotePrefix="0" xfId="0">
      <alignment horizontal="center" vertical="center" wrapText="1"/>
    </xf>
    <xf numFmtId="168" fontId="26" fillId="0" borderId="0" applyAlignment="1" pivotButton="0" quotePrefix="0" xfId="0">
      <alignment horizontal="left" vertical="center"/>
    </xf>
    <xf numFmtId="164" fontId="26" fillId="0" borderId="0" applyAlignment="1" pivotButton="0" quotePrefix="0" xfId="0">
      <alignment horizontal="center" vertical="center"/>
    </xf>
    <xf numFmtId="172" fontId="15" fillId="0" borderId="3" applyAlignment="1" pivotButton="0" quotePrefix="0" xfId="19">
      <alignment horizontal="center" vertical="center"/>
    </xf>
    <xf numFmtId="169" fontId="15" fillId="0" borderId="4" applyAlignment="1" pivotButton="0" quotePrefix="0" xfId="0">
      <alignment horizontal="right" vertical="center"/>
    </xf>
    <xf numFmtId="164" fontId="22" fillId="0" borderId="0" applyAlignment="1" pivotButton="0" quotePrefix="0" xfId="0">
      <alignment horizontal="left" vertical="center"/>
    </xf>
    <xf numFmtId="164" fontId="15" fillId="0" borderId="4" applyAlignment="1" pivotButton="0" quotePrefix="0" xfId="0">
      <alignment horizontal="right" vertical="center"/>
    </xf>
    <xf numFmtId="9" fontId="15" fillId="0" borderId="4" applyAlignment="1" pivotButton="0" quotePrefix="0" xfId="19">
      <alignment horizontal="left" vertical="center" indent="15"/>
    </xf>
    <xf numFmtId="9" fontId="27" fillId="5" borderId="5" applyAlignment="1" pivotButton="0" quotePrefix="0" xfId="19">
      <alignment horizontal="left" vertical="center" indent="15"/>
    </xf>
    <xf numFmtId="169" fontId="28" fillId="5" borderId="5" applyAlignment="1" pivotButton="0" quotePrefix="0" xfId="0">
      <alignment horizontal="center" vertical="center"/>
    </xf>
    <xf numFmtId="0" fontId="22" fillId="0" borderId="0" applyAlignment="1" pivotButton="0" quotePrefix="0" xfId="0">
      <alignment horizontal="left" vertical="center"/>
    </xf>
    <xf numFmtId="0" fontId="29" fillId="0" borderId="0" applyAlignment="1" pivotButton="0" quotePrefix="0" xfId="0">
      <alignment horizontal="center" vertical="bottom"/>
    </xf>
    <xf numFmtId="0" fontId="29" fillId="0" borderId="0" applyAlignment="1" pivotButton="0" quotePrefix="0" xfId="0">
      <alignment horizontal="left" vertical="bottom" indent="15"/>
    </xf>
    <xf numFmtId="173" fontId="29" fillId="0" borderId="0" applyAlignment="1" pivotButton="0" quotePrefix="0" xfId="0">
      <alignment horizontal="center" vertical="bottom"/>
    </xf>
    <xf numFmtId="164" fontId="29" fillId="0" borderId="0" applyAlignment="1" pivotButton="0" quotePrefix="0" xfId="0">
      <alignment horizontal="center" vertical="bottom"/>
    </xf>
    <xf numFmtId="9" fontId="29" fillId="0" borderId="0" applyAlignment="1" pivotButton="0" quotePrefix="0" xfId="19">
      <alignment horizontal="center" vertical="bottom"/>
    </xf>
    <xf numFmtId="0" fontId="30" fillId="0" borderId="9" applyAlignment="1" pivotButton="0" quotePrefix="0" xfId="0">
      <alignment horizontal="center" vertical="center"/>
    </xf>
    <xf numFmtId="0" fontId="31" fillId="5" borderId="10" applyAlignment="1" pivotButton="0" quotePrefix="0" xfId="0">
      <alignment horizontal="center" vertical="center" wrapText="1"/>
    </xf>
    <xf numFmtId="173" fontId="31" fillId="5" borderId="10" applyAlignment="1" pivotButton="0" quotePrefix="0" xfId="0">
      <alignment horizontal="center" vertical="center" wrapText="1"/>
    </xf>
    <xf numFmtId="164" fontId="31" fillId="5" borderId="10" applyAlignment="1" pivotButton="0" quotePrefix="0" xfId="0">
      <alignment horizontal="center" vertical="center" wrapText="1"/>
    </xf>
    <xf numFmtId="9" fontId="31" fillId="5" borderId="10" applyAlignment="1" pivotButton="0" quotePrefix="0" xfId="19">
      <alignment horizontal="center" vertical="center" wrapText="1"/>
    </xf>
    <xf numFmtId="164" fontId="31" fillId="5" borderId="10" applyAlignment="1" pivotButton="0" quotePrefix="0" xfId="0">
      <alignment horizontal="left" vertical="center" wrapText="1" indent="15"/>
    </xf>
    <xf numFmtId="1" fontId="32" fillId="0" borderId="11" applyAlignment="1" pivotButton="0" quotePrefix="0" xfId="0">
      <alignment horizontal="center" vertical="center" shrinkToFit="1"/>
    </xf>
    <xf numFmtId="0" fontId="33" fillId="0" borderId="11" applyAlignment="1" pivotButton="0" quotePrefix="0" xfId="0">
      <alignment horizontal="center" vertical="center" wrapText="1"/>
    </xf>
    <xf numFmtId="1" fontId="33" fillId="0" borderId="11" applyAlignment="1" pivotButton="0" quotePrefix="0" xfId="0">
      <alignment horizontal="general" vertical="center"/>
    </xf>
    <xf numFmtId="174" fontId="34" fillId="0" borderId="11" applyAlignment="1" pivotButton="0" quotePrefix="0" xfId="0">
      <alignment horizontal="center" vertical="center" shrinkToFit="1"/>
    </xf>
    <xf numFmtId="169" fontId="34" fillId="0" borderId="11" applyAlignment="1" pivotButton="0" quotePrefix="0" xfId="0">
      <alignment horizontal="center" vertical="center" shrinkToFit="1"/>
    </xf>
    <xf numFmtId="169" fontId="33" fillId="0" borderId="11" applyAlignment="1" pivotButton="0" quotePrefix="0" xfId="0">
      <alignment horizontal="center" vertical="center" wrapText="1"/>
    </xf>
    <xf numFmtId="9" fontId="33" fillId="0" borderId="11" applyAlignment="1" pivotButton="0" quotePrefix="0" xfId="19">
      <alignment horizontal="center" vertical="center" wrapText="1"/>
    </xf>
    <xf numFmtId="164" fontId="34" fillId="0" borderId="11" applyAlignment="1" pivotButton="0" quotePrefix="0" xfId="0">
      <alignment horizontal="left" vertical="center" shrinkToFit="1" indent="15"/>
    </xf>
    <xf numFmtId="175" fontId="29" fillId="0" borderId="0" applyAlignment="1" pivotButton="0" quotePrefix="0" xfId="0">
      <alignment horizontal="center" vertical="bottom"/>
    </xf>
    <xf numFmtId="0" fontId="35" fillId="0" borderId="0" applyAlignment="1" pivotButton="0" quotePrefix="0" xfId="0">
      <alignment horizontal="center" vertical="bottom"/>
    </xf>
    <xf numFmtId="0" fontId="36" fillId="5" borderId="0" applyAlignment="1" pivotButton="0" quotePrefix="0" xfId="0">
      <alignment horizontal="center" vertical="center"/>
    </xf>
    <xf numFmtId="173" fontId="36" fillId="5" borderId="0" applyAlignment="1" pivotButton="0" quotePrefix="0" xfId="0">
      <alignment horizontal="center" vertical="center"/>
    </xf>
    <xf numFmtId="164" fontId="36" fillId="5" borderId="0" applyAlignment="1" pivotButton="0" quotePrefix="0" xfId="0">
      <alignment horizontal="center" vertical="center"/>
    </xf>
    <xf numFmtId="9" fontId="36" fillId="5" borderId="0" applyAlignment="1" pivotButton="0" quotePrefix="0" xfId="19">
      <alignment horizontal="center" vertical="center"/>
    </xf>
    <xf numFmtId="0" fontId="37" fillId="0" borderId="0" applyAlignment="1" pivotButton="0" quotePrefix="0" xfId="0">
      <alignment horizontal="center" vertical="bottom"/>
    </xf>
    <xf numFmtId="0" fontId="38" fillId="0" borderId="0" applyAlignment="1" pivotButton="0" quotePrefix="0" xfId="0">
      <alignment horizontal="general" vertical="bottom"/>
    </xf>
    <xf numFmtId="0" fontId="38" fillId="0" borderId="0" applyAlignment="1" pivotButton="0" quotePrefix="0" xfId="0">
      <alignment horizontal="center" vertical="bottom"/>
    </xf>
    <xf numFmtId="176" fontId="38" fillId="0" borderId="0" applyAlignment="1" pivotButton="0" quotePrefix="0" xfId="0">
      <alignment horizontal="center" vertical="bottom"/>
    </xf>
    <xf numFmtId="174" fontId="38" fillId="0" borderId="0" applyAlignment="1" pivotButton="0" quotePrefix="0" xfId="0">
      <alignment horizontal="center" vertical="bottom"/>
    </xf>
    <xf numFmtId="173" fontId="38" fillId="0" borderId="0" applyAlignment="1" pivotButton="0" quotePrefix="0" xfId="0">
      <alignment horizontal="center" vertical="bottom"/>
    </xf>
    <xf numFmtId="164" fontId="38" fillId="0" borderId="0" applyAlignment="1" pivotButton="0" quotePrefix="0" xfId="0">
      <alignment horizontal="center" vertical="bottom"/>
    </xf>
    <xf numFmtId="173" fontId="38" fillId="0" borderId="0" applyAlignment="1" pivotButton="0" quotePrefix="0" xfId="0">
      <alignment horizontal="center" vertical="center"/>
    </xf>
    <xf numFmtId="0" fontId="17" fillId="5" borderId="12" applyAlignment="1" pivotButton="0" quotePrefix="0" xfId="0">
      <alignment horizontal="left" vertical="center" indent="15"/>
    </xf>
    <xf numFmtId="0" fontId="17" fillId="5" borderId="12" applyAlignment="1" pivotButton="0" quotePrefix="0" xfId="0">
      <alignment horizontal="center" vertical="center"/>
    </xf>
    <xf numFmtId="176" fontId="17" fillId="5" borderId="12" applyAlignment="1" pivotButton="0" quotePrefix="0" xfId="0">
      <alignment horizontal="center" vertical="center"/>
    </xf>
    <xf numFmtId="174" fontId="17" fillId="5" borderId="12" applyAlignment="1" pivotButton="0" quotePrefix="0" xfId="0">
      <alignment horizontal="center" vertical="center"/>
    </xf>
    <xf numFmtId="173" fontId="17" fillId="5" borderId="12" applyAlignment="1" pivotButton="0" quotePrefix="0" xfId="0">
      <alignment horizontal="center" vertical="center"/>
    </xf>
    <xf numFmtId="164" fontId="17" fillId="5" borderId="12" applyAlignment="1" pivotButton="0" quotePrefix="0" xfId="0">
      <alignment horizontal="center" vertical="center"/>
    </xf>
    <xf numFmtId="0" fontId="39" fillId="0" borderId="0" applyAlignment="1" pivotButton="0" quotePrefix="0" xfId="0">
      <alignment horizontal="center" vertical="center"/>
    </xf>
    <xf numFmtId="173" fontId="39" fillId="0" borderId="0" applyAlignment="1" pivotButton="0" quotePrefix="0" xfId="0">
      <alignment horizontal="center" vertical="center"/>
    </xf>
    <xf numFmtId="0" fontId="40" fillId="0" borderId="13" applyAlignment="1" pivotButton="0" quotePrefix="0" xfId="0">
      <alignment horizontal="left" vertical="center" indent="15"/>
    </xf>
    <xf numFmtId="0" fontId="41" fillId="0" borderId="14" applyAlignment="1" pivotButton="0" quotePrefix="0" xfId="0">
      <alignment horizontal="left" vertical="center" indent="15"/>
    </xf>
    <xf numFmtId="177" fontId="41" fillId="0" borderId="14" applyAlignment="1" pivotButton="0" quotePrefix="0" xfId="0">
      <alignment horizontal="left" vertical="center" indent="15"/>
    </xf>
    <xf numFmtId="176" fontId="41" fillId="0" borderId="14" applyAlignment="1" pivotButton="0" quotePrefix="0" xfId="0">
      <alignment horizontal="left" vertical="center" indent="15"/>
    </xf>
    <xf numFmtId="174" fontId="41" fillId="0" borderId="14" applyAlignment="1" pivotButton="0" quotePrefix="0" xfId="0">
      <alignment horizontal="left" vertical="center" indent="15"/>
    </xf>
    <xf numFmtId="173" fontId="41" fillId="0" borderId="14" applyAlignment="1" pivotButton="0" quotePrefix="0" xfId="0">
      <alignment horizontal="left" vertical="center" indent="15"/>
    </xf>
    <xf numFmtId="164" fontId="41" fillId="0" borderId="15" applyAlignment="1" pivotButton="0" quotePrefix="0" xfId="0">
      <alignment horizontal="left" vertical="center" indent="15"/>
    </xf>
    <xf numFmtId="0" fontId="38" fillId="0" borderId="0" applyAlignment="1" pivotButton="0" quotePrefix="0" xfId="0">
      <alignment horizontal="left" vertical="center"/>
    </xf>
    <xf numFmtId="0" fontId="42" fillId="0" borderId="0" applyAlignment="1" pivotButton="0" quotePrefix="0" xfId="0">
      <alignment horizontal="left" vertical="center"/>
    </xf>
    <xf numFmtId="0" fontId="40" fillId="0" borderId="14" applyAlignment="1" pivotButton="0" quotePrefix="0" xfId="0">
      <alignment horizontal="center" vertical="center"/>
    </xf>
    <xf numFmtId="0" fontId="0" fillId="0" borderId="16" applyAlignment="1" pivotButton="0" quotePrefix="0" xfId="22">
      <alignment horizontal="general" vertical="bottom"/>
    </xf>
    <xf numFmtId="0" fontId="0" fillId="0" borderId="17" applyAlignment="1" pivotButton="0" quotePrefix="0" xfId="21">
      <alignment horizontal="general" vertical="bottom"/>
    </xf>
    <xf numFmtId="0" fontId="41" fillId="0" borderId="14" applyAlignment="1" pivotButton="0" quotePrefix="0" xfId="0">
      <alignment horizontal="center" vertical="center"/>
    </xf>
    <xf numFmtId="177" fontId="41" fillId="0" borderId="14" applyAlignment="1" pivotButton="0" quotePrefix="0" xfId="0">
      <alignment horizontal="center" vertical="center"/>
    </xf>
    <xf numFmtId="176" fontId="41" fillId="0" borderId="14" applyAlignment="1" pivotButton="0" quotePrefix="0" xfId="0">
      <alignment horizontal="center" vertical="center"/>
    </xf>
    <xf numFmtId="171" fontId="41" fillId="0" borderId="14" applyAlignment="1" pivotButton="0" quotePrefix="0" xfId="0">
      <alignment horizontal="center" vertical="center"/>
    </xf>
    <xf numFmtId="174" fontId="41" fillId="0" borderId="14" applyAlignment="1" pivotButton="0" quotePrefix="0" xfId="0">
      <alignment horizontal="center" vertical="center"/>
    </xf>
    <xf numFmtId="173" fontId="41" fillId="0" borderId="14" applyAlignment="1" pivotButton="0" quotePrefix="0" xfId="0">
      <alignment horizontal="center" vertical="center"/>
    </xf>
    <xf numFmtId="164" fontId="41" fillId="0" borderId="15" applyAlignment="1" pivotButton="0" quotePrefix="0" xfId="0">
      <alignment horizontal="center" vertical="center"/>
    </xf>
    <xf numFmtId="0" fontId="4" fillId="0" borderId="18" applyAlignment="1" pivotButton="0" quotePrefix="0" xfId="24">
      <alignment horizontal="left" vertical="bottom"/>
    </xf>
    <xf numFmtId="0" fontId="4" fillId="0" borderId="19" applyAlignment="1" pivotButton="0" quotePrefix="0" xfId="23">
      <alignment horizontal="general" vertical="bottom"/>
    </xf>
    <xf numFmtId="0" fontId="39" fillId="0" borderId="0" applyAlignment="1" pivotButton="0" quotePrefix="0" xfId="0">
      <alignment horizontal="left" vertical="center"/>
    </xf>
    <xf numFmtId="173" fontId="39" fillId="0" borderId="0" applyAlignment="1" pivotButton="0" quotePrefix="0" xfId="0">
      <alignment horizontal="left" vertical="center"/>
    </xf>
    <xf numFmtId="0" fontId="31" fillId="5" borderId="13" applyAlignment="1" pivotButton="0" quotePrefix="0" xfId="0">
      <alignment horizontal="left" vertical="center" indent="15"/>
    </xf>
    <xf numFmtId="0" fontId="31" fillId="5" borderId="14" applyAlignment="1" pivotButton="0" quotePrefix="0" xfId="0">
      <alignment horizontal="left" vertical="center" indent="15"/>
    </xf>
    <xf numFmtId="177" fontId="31" fillId="5" borderId="14" applyAlignment="1" pivotButton="0" quotePrefix="0" xfId="0">
      <alignment horizontal="left" vertical="center" indent="15"/>
    </xf>
    <xf numFmtId="176" fontId="31" fillId="5" borderId="14" applyAlignment="1" pivotButton="0" quotePrefix="0" xfId="0">
      <alignment horizontal="left" vertical="center" indent="15"/>
    </xf>
    <xf numFmtId="171" fontId="31" fillId="5" borderId="14" applyAlignment="1" pivotButton="0" quotePrefix="0" xfId="0">
      <alignment horizontal="left" vertical="center" indent="15"/>
    </xf>
    <xf numFmtId="174" fontId="31" fillId="5" borderId="14" applyAlignment="1" pivotButton="0" quotePrefix="0" xfId="0">
      <alignment horizontal="left" vertical="center" indent="15"/>
    </xf>
    <xf numFmtId="173" fontId="31" fillId="5" borderId="14" applyAlignment="1" pivotButton="0" quotePrefix="0" xfId="0">
      <alignment horizontal="left" vertical="center" indent="15"/>
    </xf>
    <xf numFmtId="164" fontId="31" fillId="5" borderId="15" applyAlignment="1" pivotButton="0" quotePrefix="0" xfId="0">
      <alignment horizontal="center" vertical="center"/>
    </xf>
    <xf numFmtId="164" fontId="31" fillId="5" borderId="15" applyAlignment="1" pivotButton="0" quotePrefix="0" xfId="0">
      <alignment horizontal="left" vertical="center" indent="15"/>
    </xf>
    <xf numFmtId="0" fontId="37" fillId="0" borderId="0" applyAlignment="1" pivotButton="0" quotePrefix="0" xfId="0">
      <alignment horizontal="left" vertical="center"/>
    </xf>
    <xf numFmtId="173" fontId="37" fillId="0" borderId="0" applyAlignment="1" pivotButton="0" quotePrefix="0" xfId="0">
      <alignment horizontal="center" vertical="center"/>
    </xf>
    <xf numFmtId="0" fontId="43" fillId="0" borderId="0" applyAlignment="1" pivotButton="0" quotePrefix="0" xfId="0">
      <alignment horizontal="left" vertical="center"/>
    </xf>
    <xf numFmtId="0" fontId="44" fillId="0" borderId="0" applyAlignment="1" pivotButton="0" quotePrefix="0" xfId="0">
      <alignment horizontal="general" vertical="bottom"/>
    </xf>
    <xf numFmtId="178" fontId="44" fillId="0" borderId="0" applyAlignment="1" pivotButton="0" quotePrefix="0" xfId="0">
      <alignment horizontal="general" vertical="bottom"/>
    </xf>
    <xf numFmtId="0" fontId="44" fillId="0" borderId="0" applyAlignment="1" pivotButton="0" quotePrefix="0" xfId="0">
      <alignment horizontal="center" vertical="bottom"/>
    </xf>
    <xf numFmtId="167" fontId="44" fillId="0" borderId="0" applyAlignment="1" pivotButton="0" quotePrefix="0" xfId="0">
      <alignment horizontal="center" vertical="bottom"/>
    </xf>
    <xf numFmtId="173" fontId="44" fillId="0" borderId="0" applyAlignment="1" pivotButton="0" quotePrefix="0" xfId="0">
      <alignment horizontal="center" vertical="center"/>
    </xf>
    <xf numFmtId="0" fontId="44" fillId="0" borderId="0" applyAlignment="1" pivotButton="0" quotePrefix="0" xfId="0">
      <alignment horizontal="left" vertical="bottom" indent="15"/>
    </xf>
    <xf numFmtId="9" fontId="44" fillId="0" borderId="0" applyAlignment="1" pivotButton="0" quotePrefix="0" xfId="19">
      <alignment horizontal="left" vertical="bottom" indent="15"/>
    </xf>
    <xf numFmtId="173" fontId="44" fillId="0" borderId="0" applyAlignment="1" pivotButton="0" quotePrefix="0" xfId="0">
      <alignment horizontal="general" vertical="bottom"/>
    </xf>
    <xf numFmtId="167" fontId="45" fillId="6" borderId="20" applyAlignment="1" pivotButton="0" quotePrefix="0" xfId="0">
      <alignment horizontal="left" vertical="center" indent="15"/>
    </xf>
    <xf numFmtId="9" fontId="46" fillId="0" borderId="0" applyAlignment="1" pivotButton="0" quotePrefix="0" xfId="19">
      <alignment horizontal="left" vertical="center" indent="15"/>
    </xf>
    <xf numFmtId="0" fontId="47" fillId="0" borderId="21" applyAlignment="1" pivotButton="0" quotePrefix="0" xfId="0">
      <alignment horizontal="left" vertical="center" indent="15"/>
    </xf>
    <xf numFmtId="0" fontId="48" fillId="0" borderId="21" applyAlignment="1" pivotButton="0" quotePrefix="0" xfId="0">
      <alignment horizontal="left" vertical="center" indent="15"/>
    </xf>
    <xf numFmtId="173" fontId="49" fillId="7" borderId="21" applyAlignment="1" pivotButton="0" quotePrefix="0" xfId="0">
      <alignment horizontal="left" vertical="center"/>
    </xf>
    <xf numFmtId="9" fontId="50" fillId="0" borderId="0" applyAlignment="1" pivotButton="0" quotePrefix="0" xfId="19">
      <alignment horizontal="left" vertical="center" indent="15"/>
    </xf>
    <xf numFmtId="0" fontId="15" fillId="0" borderId="21" applyAlignment="1" pivotButton="0" quotePrefix="0" xfId="0">
      <alignment horizontal="left" vertical="center" indent="15"/>
    </xf>
    <xf numFmtId="173" fontId="49" fillId="0" borderId="21" applyAlignment="1" pivotButton="0" quotePrefix="0" xfId="0">
      <alignment horizontal="left" vertical="center"/>
    </xf>
    <xf numFmtId="0" fontId="51" fillId="0" borderId="0" applyAlignment="1" pivotButton="0" quotePrefix="0" xfId="0">
      <alignment horizontal="general" vertical="bottom"/>
    </xf>
    <xf numFmtId="0" fontId="52" fillId="0" borderId="0" applyAlignment="1" pivotButton="0" quotePrefix="0" xfId="0">
      <alignment horizontal="left" vertical="center" indent="15"/>
    </xf>
    <xf numFmtId="0" fontId="53" fillId="0" borderId="0" applyAlignment="1" pivotButton="0" quotePrefix="0" xfId="0">
      <alignment horizontal="left" vertical="center" indent="15"/>
    </xf>
    <xf numFmtId="0" fontId="49" fillId="0" borderId="0" applyAlignment="1" pivotButton="0" quotePrefix="0" xfId="0">
      <alignment horizontal="left" vertical="center" indent="15"/>
    </xf>
    <xf numFmtId="10" fontId="49" fillId="0" borderId="21" applyAlignment="1" pivotButton="0" quotePrefix="0" xfId="19">
      <alignment horizontal="left" vertical="center"/>
    </xf>
    <xf numFmtId="0" fontId="54" fillId="0" borderId="0" applyAlignment="1" pivotButton="0" quotePrefix="0" xfId="0">
      <alignment horizontal="general" vertical="bottom"/>
    </xf>
    <xf numFmtId="178" fontId="54" fillId="0" borderId="0" applyAlignment="1" pivotButton="0" quotePrefix="0" xfId="0">
      <alignment horizontal="general" vertical="bottom"/>
    </xf>
    <xf numFmtId="0" fontId="55" fillId="0" borderId="0" applyAlignment="1" pivotButton="0" quotePrefix="0" xfId="0">
      <alignment horizontal="left" vertical="center" indent="15"/>
    </xf>
    <xf numFmtId="167" fontId="54" fillId="0" borderId="0" applyAlignment="1" pivotButton="0" quotePrefix="0" xfId="0">
      <alignment horizontal="center" vertical="bottom"/>
    </xf>
    <xf numFmtId="173" fontId="54" fillId="0" borderId="0" applyAlignment="1" pivotButton="0" quotePrefix="0" xfId="0">
      <alignment horizontal="center" vertical="center"/>
    </xf>
    <xf numFmtId="171" fontId="49" fillId="0" borderId="21" applyAlignment="1" pivotButton="0" quotePrefix="0" xfId="0">
      <alignment horizontal="left" vertical="center"/>
    </xf>
    <xf numFmtId="173" fontId="54" fillId="0" borderId="0" applyAlignment="1" pivotButton="0" quotePrefix="0" xfId="0">
      <alignment horizontal="general" vertical="bottom"/>
    </xf>
    <xf numFmtId="165" fontId="55" fillId="0" borderId="0" applyAlignment="1" pivotButton="0" quotePrefix="0" xfId="0">
      <alignment horizontal="left" vertical="center" indent="15"/>
    </xf>
    <xf numFmtId="0" fontId="54" fillId="0" borderId="21" applyAlignment="1" pivotButton="0" quotePrefix="0" xfId="0">
      <alignment horizontal="left" vertical="bottom" indent="15"/>
    </xf>
    <xf numFmtId="0" fontId="47" fillId="0" borderId="22" applyAlignment="1" pivotButton="0" quotePrefix="0" xfId="0">
      <alignment horizontal="left" vertical="center" indent="15"/>
    </xf>
    <xf numFmtId="0" fontId="15" fillId="0" borderId="22" applyAlignment="1" pivotButton="0" quotePrefix="0" xfId="0">
      <alignment horizontal="left" vertical="center" indent="15"/>
    </xf>
    <xf numFmtId="171" fontId="49" fillId="0" borderId="22" applyAlignment="1" pivotButton="0" quotePrefix="0" xfId="0">
      <alignment horizontal="left" vertical="center"/>
    </xf>
    <xf numFmtId="0" fontId="49" fillId="0" borderId="0" applyAlignment="1" pivotButton="0" quotePrefix="0" xfId="0">
      <alignment horizontal="center" vertical="center" wrapText="1"/>
    </xf>
    <xf numFmtId="0" fontId="56" fillId="8" borderId="6" applyAlignment="1" pivotButton="0" quotePrefix="0" xfId="0">
      <alignment horizontal="center" vertical="center" wrapText="1"/>
    </xf>
    <xf numFmtId="167" fontId="56" fillId="8" borderId="6" applyAlignment="1" pivotButton="0" quotePrefix="0" xfId="0">
      <alignment horizontal="center" vertical="center" wrapText="1"/>
    </xf>
    <xf numFmtId="173" fontId="56" fillId="8" borderId="6" applyAlignment="1" pivotButton="0" quotePrefix="0" xfId="0">
      <alignment horizontal="center" vertical="center" wrapText="1"/>
    </xf>
    <xf numFmtId="9" fontId="56" fillId="8" borderId="6" applyAlignment="1" pivotButton="0" quotePrefix="0" xfId="19">
      <alignment horizontal="center" vertical="center" wrapText="1"/>
    </xf>
    <xf numFmtId="0" fontId="57" fillId="0" borderId="0" applyAlignment="1" pivotButton="0" quotePrefix="0" xfId="0">
      <alignment horizontal="general" vertical="bottom"/>
    </xf>
    <xf numFmtId="179" fontId="58" fillId="0" borderId="4" applyAlignment="1" pivotButton="0" quotePrefix="0" xfId="0">
      <alignment horizontal="left" vertical="center" indent="15"/>
    </xf>
    <xf numFmtId="0" fontId="58" fillId="0" borderId="4" applyAlignment="1" pivotButton="0" quotePrefix="0" xfId="0">
      <alignment horizontal="center" vertical="center"/>
    </xf>
    <xf numFmtId="0" fontId="59" fillId="0" borderId="4" applyAlignment="1" pivotButton="0" quotePrefix="0" xfId="0">
      <alignment horizontal="left" vertical="center" wrapText="1" indent="15"/>
    </xf>
    <xf numFmtId="167" fontId="58" fillId="0" borderId="4" applyAlignment="1" pivotButton="0" quotePrefix="0" xfId="0">
      <alignment horizontal="center" vertical="center"/>
    </xf>
    <xf numFmtId="173" fontId="58" fillId="0" borderId="4" applyAlignment="1" pivotButton="0" quotePrefix="0" xfId="0">
      <alignment horizontal="center" vertical="center"/>
    </xf>
    <xf numFmtId="173" fontId="58" fillId="0" borderId="4" applyAlignment="1" pivotButton="0" quotePrefix="0" xfId="0">
      <alignment horizontal="left" vertical="center" indent="15"/>
    </xf>
    <xf numFmtId="167" fontId="58" fillId="0" borderId="4" applyAlignment="1" pivotButton="0" quotePrefix="0" xfId="0">
      <alignment horizontal="left" vertical="center" indent="15"/>
    </xf>
    <xf numFmtId="0" fontId="58" fillId="0" borderId="4" applyAlignment="1" pivotButton="0" quotePrefix="0" xfId="0">
      <alignment horizontal="left" vertical="center" indent="15"/>
    </xf>
    <xf numFmtId="9" fontId="58" fillId="0" borderId="4" applyAlignment="1" pivotButton="0" quotePrefix="0" xfId="19">
      <alignment horizontal="left" vertical="center" indent="15"/>
    </xf>
    <xf numFmtId="0" fontId="58" fillId="0" borderId="4" applyAlignment="1" pivotButton="0" quotePrefix="0" xfId="0">
      <alignment horizontal="left" vertical="center" wrapText="1" indent="15"/>
    </xf>
    <xf numFmtId="0" fontId="58" fillId="0" borderId="4" applyAlignment="1" pivotButton="0" quotePrefix="0" xfId="0">
      <alignment horizontal="left" vertical="bottom" indent="15"/>
    </xf>
    <xf numFmtId="9" fontId="58" fillId="0" borderId="4" applyAlignment="1" pivotButton="0" quotePrefix="0" xfId="19">
      <alignment horizontal="left" vertical="bottom" indent="15"/>
    </xf>
    <xf numFmtId="173" fontId="58" fillId="0" borderId="4" applyAlignment="1" pivotButton="0" quotePrefix="0" xfId="0">
      <alignment horizontal="left" vertical="bottom" indent="15"/>
    </xf>
    <xf numFmtId="0" fontId="57" fillId="0" borderId="0" applyAlignment="1" pivotButton="0" quotePrefix="0" xfId="0">
      <alignment horizontal="general" vertical="center"/>
    </xf>
    <xf numFmtId="0" fontId="60" fillId="0" borderId="4" applyAlignment="1" pivotButton="0" quotePrefix="0" xfId="0">
      <alignment horizontal="left" vertical="center" indent="15"/>
    </xf>
    <xf numFmtId="9" fontId="60" fillId="0" borderId="4" applyAlignment="1" pivotButton="0" quotePrefix="0" xfId="19">
      <alignment horizontal="left" vertical="center" indent="15"/>
    </xf>
    <xf numFmtId="173" fontId="60" fillId="0" borderId="4" applyAlignment="1" pivotButton="0" quotePrefix="0" xfId="0">
      <alignment horizontal="left" vertical="center" indent="15"/>
    </xf>
    <xf numFmtId="167" fontId="61" fillId="0" borderId="4" applyAlignment="1" pivotButton="0" quotePrefix="0" xfId="0">
      <alignment horizontal="center" vertical="center"/>
    </xf>
    <xf numFmtId="179" fontId="58" fillId="0" borderId="7" applyAlignment="1" pivotButton="0" quotePrefix="0" xfId="0">
      <alignment horizontal="left" vertical="center" indent="15"/>
    </xf>
    <xf numFmtId="0" fontId="58" fillId="0" borderId="7" applyAlignment="1" pivotButton="0" quotePrefix="0" xfId="0">
      <alignment horizontal="center" vertical="center"/>
    </xf>
    <xf numFmtId="0" fontId="59" fillId="0" borderId="7" applyAlignment="1" pivotButton="0" quotePrefix="0" xfId="0">
      <alignment horizontal="left" vertical="center" wrapText="1" indent="15"/>
    </xf>
    <xf numFmtId="167" fontId="58" fillId="0" borderId="7" applyAlignment="1" pivotButton="0" quotePrefix="0" xfId="0">
      <alignment horizontal="center" vertical="center"/>
    </xf>
    <xf numFmtId="173" fontId="58" fillId="0" borderId="7" applyAlignment="1" pivotButton="0" quotePrefix="0" xfId="0">
      <alignment horizontal="center" vertical="center"/>
    </xf>
    <xf numFmtId="173" fontId="58" fillId="0" borderId="7" applyAlignment="1" pivotButton="0" quotePrefix="0" xfId="0">
      <alignment horizontal="left" vertical="center" indent="15"/>
    </xf>
    <xf numFmtId="167" fontId="58" fillId="0" borderId="7" applyAlignment="1" pivotButton="0" quotePrefix="0" xfId="0">
      <alignment horizontal="left" vertical="center" indent="15"/>
    </xf>
    <xf numFmtId="0" fontId="58" fillId="0" borderId="7" applyAlignment="1" pivotButton="0" quotePrefix="0" xfId="0">
      <alignment horizontal="left" vertical="center" indent="15"/>
    </xf>
    <xf numFmtId="9" fontId="58" fillId="0" borderId="7" applyAlignment="1" pivotButton="0" quotePrefix="0" xfId="19">
      <alignment horizontal="left" vertical="center" indent="15"/>
    </xf>
    <xf numFmtId="0" fontId="5" fillId="0" borderId="0" applyAlignment="1" pivotButton="0" quotePrefix="0" xfId="0">
      <alignment horizontal="general" vertical="center"/>
    </xf>
    <xf numFmtId="0" fontId="5" fillId="0" borderId="0" applyAlignment="1" pivotButton="0" quotePrefix="0" xfId="0">
      <alignment horizontal="left" vertical="center"/>
    </xf>
    <xf numFmtId="164" fontId="5" fillId="0" borderId="0" applyAlignment="1" pivotButton="0" quotePrefix="0" xfId="0">
      <alignment horizontal="left" vertical="center"/>
    </xf>
    <xf numFmtId="9" fontId="5" fillId="0" borderId="0" applyAlignment="1" pivotButton="0" quotePrefix="0" xfId="19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6" fillId="0" borderId="0" applyAlignment="1" pivotButton="0" quotePrefix="0" xfId="0">
      <alignment horizontal="left" vertical="center"/>
    </xf>
    <xf numFmtId="0" fontId="7" fillId="0" borderId="0" applyAlignment="1" pivotButton="0" quotePrefix="0" xfId="0">
      <alignment horizontal="left" vertical="center"/>
    </xf>
    <xf numFmtId="0" fontId="8" fillId="0" borderId="0" applyAlignment="1" pivotButton="0" quotePrefix="0" xfId="0">
      <alignment horizontal="left" vertical="center"/>
    </xf>
    <xf numFmtId="0" fontId="9" fillId="0" borderId="0" applyAlignment="1" pivotButton="0" quotePrefix="0" xfId="0">
      <alignment horizontal="left" vertical="center"/>
    </xf>
    <xf numFmtId="164" fontId="8" fillId="0" borderId="0" applyAlignment="1" pivotButton="0" quotePrefix="0" xfId="0">
      <alignment horizontal="left" vertical="center"/>
    </xf>
    <xf numFmtId="0" fontId="10" fillId="0" borderId="0" applyAlignment="1" pivotButton="0" quotePrefix="0" xfId="0">
      <alignment horizontal="left" vertical="center"/>
    </xf>
    <xf numFmtId="165" fontId="10" fillId="0" borderId="0" applyAlignment="1" pivotButton="0" quotePrefix="0" xfId="0">
      <alignment horizontal="left" vertical="center"/>
    </xf>
    <xf numFmtId="0" fontId="10" fillId="0" borderId="1" applyAlignment="1" pivotButton="0" quotePrefix="0" xfId="0">
      <alignment horizontal="left" vertical="center"/>
    </xf>
    <xf numFmtId="0" fontId="5" fillId="0" borderId="1" applyAlignment="1" pivotButton="0" quotePrefix="0" xfId="0">
      <alignment horizontal="left" vertical="center"/>
    </xf>
    <xf numFmtId="164" fontId="5" fillId="0" borderId="1" applyAlignment="1" pivotButton="0" quotePrefix="0" xfId="0">
      <alignment horizontal="left" vertical="center"/>
    </xf>
    <xf numFmtId="0" fontId="11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12" fillId="0" borderId="2" applyAlignment="1" pivotButton="0" quotePrefix="0" xfId="0">
      <alignment horizontal="center" vertical="center"/>
    </xf>
    <xf numFmtId="0" fontId="0" fillId="0" borderId="2" pivotButton="0" quotePrefix="0" xfId="0"/>
    <xf numFmtId="166" fontId="13" fillId="0" borderId="2" applyAlignment="1" pivotButton="0" quotePrefix="0" xfId="0">
      <alignment horizontal="left" vertical="center" indent="15"/>
    </xf>
    <xf numFmtId="164" fontId="14" fillId="0" borderId="0" applyAlignment="1" pivotButton="0" quotePrefix="0" xfId="0">
      <alignment horizontal="center" vertical="center"/>
    </xf>
    <xf numFmtId="0" fontId="15" fillId="0" borderId="3" applyAlignment="1" pivotButton="0" quotePrefix="0" xfId="0">
      <alignment horizontal="center" vertical="center"/>
    </xf>
    <xf numFmtId="0" fontId="15" fillId="0" borderId="3" applyAlignment="1" pivotButton="0" quotePrefix="0" xfId="0">
      <alignment horizontal="left" vertical="center" indent="15"/>
    </xf>
    <xf numFmtId="167" fontId="13" fillId="0" borderId="3" applyAlignment="1" pivotButton="0" quotePrefix="0" xfId="0">
      <alignment horizontal="center" vertical="center"/>
    </xf>
    <xf numFmtId="167" fontId="16" fillId="0" borderId="0" applyAlignment="1" pivotButton="0" quotePrefix="0" xfId="0">
      <alignment horizontal="right" vertical="center"/>
    </xf>
    <xf numFmtId="0" fontId="14" fillId="0" borderId="0" applyAlignment="1" pivotButton="0" quotePrefix="0" xfId="0">
      <alignment horizontal="general" vertical="center"/>
    </xf>
    <xf numFmtId="0" fontId="15" fillId="0" borderId="0" applyAlignment="1" pivotButton="0" quotePrefix="0" xfId="0">
      <alignment horizontal="left" vertical="top"/>
    </xf>
    <xf numFmtId="0" fontId="15" fillId="0" borderId="0" applyAlignment="1" pivotButton="0" quotePrefix="0" xfId="0">
      <alignment horizontal="left" vertical="center" indent="15"/>
    </xf>
    <xf numFmtId="0" fontId="15" fillId="0" borderId="0" applyAlignment="1" pivotButton="0" quotePrefix="0" xfId="0">
      <alignment horizontal="center" vertical="center"/>
    </xf>
    <xf numFmtId="164" fontId="14" fillId="0" borderId="0" applyAlignment="1" pivotButton="0" quotePrefix="0" xfId="0">
      <alignment horizontal="left" vertical="center"/>
    </xf>
    <xf numFmtId="0" fontId="15" fillId="0" borderId="4" applyAlignment="1" pivotButton="0" quotePrefix="0" xfId="0">
      <alignment horizontal="center" vertical="center"/>
    </xf>
    <xf numFmtId="0" fontId="15" fillId="0" borderId="4" applyAlignment="1" pivotButton="0" quotePrefix="0" xfId="0">
      <alignment horizontal="left" vertical="center"/>
    </xf>
    <xf numFmtId="166" fontId="13" fillId="0" borderId="4" applyAlignment="1" pivotButton="0" quotePrefix="0" xfId="0">
      <alignment horizontal="center" vertical="center"/>
    </xf>
    <xf numFmtId="166" fontId="16" fillId="0" borderId="0" applyAlignment="1" pivotButton="0" quotePrefix="0" xfId="0">
      <alignment horizontal="right" vertical="center"/>
    </xf>
    <xf numFmtId="0" fontId="15" fillId="0" borderId="0" applyAlignment="1" pivotButton="0" quotePrefix="0" xfId="0">
      <alignment horizontal="left" vertical="center"/>
    </xf>
    <xf numFmtId="0" fontId="14" fillId="0" borderId="0" applyAlignment="1" pivotButton="0" quotePrefix="0" xfId="0">
      <alignment horizontal="left" vertical="center" indent="15"/>
    </xf>
    <xf numFmtId="0" fontId="15" fillId="0" borderId="4" applyAlignment="1" pivotButton="0" quotePrefix="0" xfId="0">
      <alignment horizontal="left" vertical="center" indent="15"/>
    </xf>
    <xf numFmtId="167" fontId="13" fillId="0" borderId="4" applyAlignment="1" pivotButton="0" quotePrefix="0" xfId="0">
      <alignment horizontal="center" vertical="center"/>
    </xf>
    <xf numFmtId="167" fontId="13" fillId="0" borderId="4" applyAlignment="1" pivotButton="0" quotePrefix="0" xfId="0">
      <alignment horizontal="right" vertical="center" indent="15"/>
    </xf>
    <xf numFmtId="0" fontId="15" fillId="0" borderId="1" applyAlignment="1" pivotButton="0" quotePrefix="0" xfId="0">
      <alignment horizontal="left" vertical="center" indent="15"/>
    </xf>
    <xf numFmtId="0" fontId="14" fillId="0" borderId="1" applyAlignment="1" pivotButton="0" quotePrefix="0" xfId="0">
      <alignment horizontal="left" vertical="center" indent="15"/>
    </xf>
    <xf numFmtId="0" fontId="15" fillId="0" borderId="5" applyAlignment="1" pivotButton="0" quotePrefix="0" xfId="0">
      <alignment horizontal="center" vertical="center"/>
    </xf>
    <xf numFmtId="0" fontId="15" fillId="0" borderId="5" applyAlignment="1" pivotButton="0" quotePrefix="0" xfId="0">
      <alignment horizontal="left" vertical="center" indent="15"/>
    </xf>
    <xf numFmtId="167" fontId="13" fillId="0" borderId="5" applyAlignment="1" pivotButton="0" quotePrefix="0" xfId="0">
      <alignment horizontal="right" vertical="center" indent="15"/>
    </xf>
    <xf numFmtId="0" fontId="14" fillId="2" borderId="0" applyAlignment="1" pivotButton="0" quotePrefix="0" xfId="0">
      <alignment horizontal="general" vertical="center"/>
    </xf>
    <xf numFmtId="0" fontId="14" fillId="0" borderId="0" applyAlignment="1" pivotButton="0" quotePrefix="0" xfId="0">
      <alignment horizontal="left" vertical="center"/>
    </xf>
    <xf numFmtId="0" fontId="17" fillId="3" borderId="0" applyAlignment="1" pivotButton="0" quotePrefix="0" xfId="0">
      <alignment horizontal="center" vertical="center"/>
    </xf>
    <xf numFmtId="0" fontId="17" fillId="3" borderId="0" applyAlignment="1" pivotButton="0" quotePrefix="0" xfId="0">
      <alignment horizontal="left" vertical="center"/>
    </xf>
    <xf numFmtId="164" fontId="17" fillId="3" borderId="0" applyAlignment="1" pivotButton="0" quotePrefix="0" xfId="0">
      <alignment horizontal="left" vertical="center"/>
    </xf>
    <xf numFmtId="9" fontId="17" fillId="3" borderId="0" applyAlignment="1" pivotButton="0" quotePrefix="0" xfId="19">
      <alignment horizontal="center" vertical="center"/>
    </xf>
    <xf numFmtId="164" fontId="17" fillId="3" borderId="0" applyAlignment="1" pivotButton="0" quotePrefix="0" xfId="0">
      <alignment horizontal="center" vertical="center"/>
    </xf>
    <xf numFmtId="168" fontId="17" fillId="3" borderId="0" applyAlignment="1" pivotButton="0" quotePrefix="0" xfId="0">
      <alignment horizontal="center" vertical="center"/>
    </xf>
    <xf numFmtId="0" fontId="18" fillId="4" borderId="6" applyAlignment="1" pivotButton="0" quotePrefix="0" xfId="0">
      <alignment horizontal="center" vertical="center" wrapText="1"/>
    </xf>
    <xf numFmtId="1" fontId="19" fillId="0" borderId="6" applyAlignment="1" pivotButton="0" quotePrefix="0" xfId="0">
      <alignment horizontal="left" vertical="center" wrapText="1"/>
    </xf>
    <xf numFmtId="0" fontId="19" fillId="4" borderId="6" applyAlignment="1" pivotButton="0" quotePrefix="0" xfId="0">
      <alignment horizontal="left" vertical="center"/>
    </xf>
    <xf numFmtId="169" fontId="19" fillId="4" borderId="6" applyAlignment="1" pivotButton="0" quotePrefix="0" xfId="0">
      <alignment horizontal="left" vertical="center"/>
    </xf>
    <xf numFmtId="9" fontId="19" fillId="4" borderId="6" applyAlignment="1" pivotButton="0" quotePrefix="0" xfId="19">
      <alignment horizontal="center" vertical="center"/>
    </xf>
    <xf numFmtId="0" fontId="20" fillId="4" borderId="6" applyAlignment="1" pivotButton="0" quotePrefix="0" xfId="0">
      <alignment horizontal="left" vertical="center" wrapText="1" indent="15"/>
    </xf>
    <xf numFmtId="0" fontId="0" fillId="0" borderId="6" pivotButton="0" quotePrefix="0" xfId="0"/>
    <xf numFmtId="1" fontId="19" fillId="0" borderId="4" applyAlignment="1" pivotButton="0" quotePrefix="0" xfId="0">
      <alignment horizontal="left" vertical="center" wrapText="1"/>
    </xf>
    <xf numFmtId="0" fontId="19" fillId="0" borderId="4" applyAlignment="1" pivotButton="0" quotePrefix="0" xfId="0">
      <alignment horizontal="left" vertical="center"/>
    </xf>
    <xf numFmtId="0" fontId="19" fillId="4" borderId="4" applyAlignment="1" pivotButton="0" quotePrefix="0" xfId="0">
      <alignment horizontal="left" vertical="center" wrapText="1"/>
    </xf>
    <xf numFmtId="0" fontId="19" fillId="4" borderId="4" applyAlignment="1" pivotButton="0" quotePrefix="0" xfId="0">
      <alignment horizontal="left" vertical="center"/>
    </xf>
    <xf numFmtId="0" fontId="19" fillId="0" borderId="4" applyAlignment="1" pivotButton="0" quotePrefix="0" xfId="0">
      <alignment horizontal="left" vertical="center" wrapText="1"/>
    </xf>
    <xf numFmtId="0" fontId="19" fillId="0" borderId="7" applyAlignment="1" pivotButton="0" quotePrefix="0" xfId="0">
      <alignment horizontal="left" vertical="center" wrapText="1"/>
    </xf>
    <xf numFmtId="0" fontId="19" fillId="0" borderId="7" applyAlignment="1" pivotButton="0" quotePrefix="0" xfId="0">
      <alignment horizontal="left" vertical="center"/>
    </xf>
    <xf numFmtId="0" fontId="20" fillId="0" borderId="7" applyAlignment="1" pivotButton="0" quotePrefix="0" xfId="0">
      <alignment horizontal="center" vertical="center" wrapText="1"/>
    </xf>
    <xf numFmtId="164" fontId="19" fillId="4" borderId="6" applyAlignment="1" pivotButton="0" quotePrefix="0" xfId="0">
      <alignment horizontal="left" vertical="center"/>
    </xf>
    <xf numFmtId="164" fontId="19" fillId="0" borderId="7" applyAlignment="1" pivotButton="0" quotePrefix="0" xfId="0">
      <alignment horizontal="left" vertical="center"/>
    </xf>
    <xf numFmtId="0" fontId="19" fillId="4" borderId="8" applyAlignment="1" pivotButton="0" quotePrefix="0" xfId="0">
      <alignment horizontal="left" vertical="center"/>
    </xf>
    <xf numFmtId="164" fontId="19" fillId="4" borderId="8" applyAlignment="1" pivotButton="0" quotePrefix="0" xfId="0">
      <alignment horizontal="left" vertical="center"/>
    </xf>
    <xf numFmtId="0" fontId="21" fillId="4" borderId="8" applyAlignment="1" pivotButton="0" quotePrefix="0" xfId="0">
      <alignment horizontal="left" vertical="center" wrapText="1"/>
    </xf>
    <xf numFmtId="0" fontId="0" fillId="0" borderId="8" pivotButton="0" quotePrefix="0" xfId="0"/>
    <xf numFmtId="0" fontId="22" fillId="0" borderId="0" applyAlignment="1" pivotButton="0" quotePrefix="0" xfId="0">
      <alignment horizontal="general" vertical="center"/>
    </xf>
    <xf numFmtId="0" fontId="23" fillId="4" borderId="2" applyAlignment="1" pivotButton="0" quotePrefix="0" xfId="0">
      <alignment horizontal="left" vertical="center" wrapText="1"/>
    </xf>
    <xf numFmtId="0" fontId="23" fillId="4" borderId="2" applyAlignment="1" pivotButton="0" quotePrefix="0" xfId="0">
      <alignment horizontal="left" vertical="center"/>
    </xf>
    <xf numFmtId="168" fontId="24" fillId="4" borderId="2" applyAlignment="1" pivotButton="0" quotePrefix="0" xfId="0">
      <alignment horizontal="left" vertical="center"/>
    </xf>
    <xf numFmtId="170" fontId="23" fillId="4" borderId="2" applyAlignment="1" pivotButton="0" quotePrefix="0" xfId="0">
      <alignment horizontal="center" vertical="center"/>
    </xf>
    <xf numFmtId="9" fontId="24" fillId="4" borderId="2" applyAlignment="1" pivotButton="0" quotePrefix="0" xfId="19">
      <alignment horizontal="left" vertical="center"/>
    </xf>
    <xf numFmtId="0" fontId="25" fillId="4" borderId="2" applyAlignment="1" pivotButton="0" quotePrefix="0" xfId="0">
      <alignment horizontal="center" vertical="center" wrapText="1"/>
    </xf>
    <xf numFmtId="0" fontId="14" fillId="4" borderId="0" applyAlignment="1" pivotButton="0" quotePrefix="0" xfId="0">
      <alignment horizontal="left" vertical="center"/>
    </xf>
    <xf numFmtId="171" fontId="14" fillId="4" borderId="0" applyAlignment="1" pivotButton="0" quotePrefix="0" xfId="0">
      <alignment horizontal="left" vertical="center"/>
    </xf>
    <xf numFmtId="164" fontId="14" fillId="4" borderId="0" applyAlignment="1" pivotButton="0" quotePrefix="0" xfId="0">
      <alignment horizontal="right" vertical="center"/>
    </xf>
    <xf numFmtId="9" fontId="14" fillId="4" borderId="1" applyAlignment="1" pivotButton="0" quotePrefix="0" xfId="19">
      <alignment horizontal="center" vertical="center"/>
    </xf>
    <xf numFmtId="168" fontId="14" fillId="4" borderId="1" applyAlignment="1" pivotButton="0" quotePrefix="0" xfId="0">
      <alignment horizontal="center" vertical="center"/>
    </xf>
    <xf numFmtId="0" fontId="26" fillId="4" borderId="1" applyAlignment="1" pivotButton="0" quotePrefix="0" xfId="0">
      <alignment horizontal="center" vertical="center" wrapText="1"/>
    </xf>
    <xf numFmtId="0" fontId="0" fillId="0" borderId="1" pivotButton="0" quotePrefix="0" xfId="0"/>
    <xf numFmtId="168" fontId="26" fillId="0" borderId="0" applyAlignment="1" pivotButton="0" quotePrefix="0" xfId="0">
      <alignment horizontal="left" vertical="center"/>
    </xf>
    <xf numFmtId="164" fontId="26" fillId="0" borderId="0" applyAlignment="1" pivotButton="0" quotePrefix="0" xfId="0">
      <alignment horizontal="center" vertical="center"/>
    </xf>
    <xf numFmtId="172" fontId="15" fillId="0" borderId="3" applyAlignment="1" pivotButton="0" quotePrefix="0" xfId="19">
      <alignment horizontal="center" vertical="center"/>
    </xf>
    <xf numFmtId="0" fontId="0" fillId="0" borderId="3" pivotButton="0" quotePrefix="0" xfId="0"/>
    <xf numFmtId="169" fontId="15" fillId="0" borderId="4" applyAlignment="1" pivotButton="0" quotePrefix="0" xfId="0">
      <alignment horizontal="right" vertical="center"/>
    </xf>
    <xf numFmtId="0" fontId="0" fillId="0" borderId="4" pivotButton="0" quotePrefix="0" xfId="0"/>
    <xf numFmtId="164" fontId="22" fillId="0" borderId="0" applyAlignment="1" pivotButton="0" quotePrefix="0" xfId="0">
      <alignment horizontal="left" vertical="center"/>
    </xf>
    <xf numFmtId="164" fontId="15" fillId="0" borderId="4" applyAlignment="1" pivotButton="0" quotePrefix="0" xfId="0">
      <alignment horizontal="right" vertical="center"/>
    </xf>
    <xf numFmtId="9" fontId="15" fillId="0" borderId="4" applyAlignment="1" pivotButton="0" quotePrefix="0" xfId="19">
      <alignment horizontal="left" vertical="center" indent="15"/>
    </xf>
    <xf numFmtId="9" fontId="27" fillId="5" borderId="5" applyAlignment="1" pivotButton="0" quotePrefix="0" xfId="19">
      <alignment horizontal="left" vertical="center" indent="15"/>
    </xf>
    <xf numFmtId="169" fontId="28" fillId="5" borderId="5" applyAlignment="1" pivotButton="0" quotePrefix="0" xfId="0">
      <alignment horizontal="center" vertical="center"/>
    </xf>
    <xf numFmtId="0" fontId="0" fillId="0" borderId="5" pivotButton="0" quotePrefix="0" xfId="0"/>
    <xf numFmtId="0" fontId="22" fillId="0" borderId="0" applyAlignment="1" pivotButton="0" quotePrefix="0" xfId="0">
      <alignment horizontal="left" vertical="center"/>
    </xf>
    <xf numFmtId="0" fontId="29" fillId="0" borderId="0" applyAlignment="1" pivotButton="0" quotePrefix="0" xfId="0">
      <alignment horizontal="center" vertical="bottom"/>
    </xf>
    <xf numFmtId="0" fontId="29" fillId="0" borderId="0" applyAlignment="1" pivotButton="0" quotePrefix="0" xfId="0">
      <alignment horizontal="left" vertical="bottom" indent="15"/>
    </xf>
    <xf numFmtId="173" fontId="29" fillId="0" borderId="0" applyAlignment="1" pivotButton="0" quotePrefix="0" xfId="0">
      <alignment horizontal="center" vertical="bottom"/>
    </xf>
    <xf numFmtId="164" fontId="29" fillId="0" borderId="0" applyAlignment="1" pivotButton="0" quotePrefix="0" xfId="0">
      <alignment horizontal="center" vertical="bottom"/>
    </xf>
    <xf numFmtId="9" fontId="29" fillId="0" borderId="0" applyAlignment="1" pivotButton="0" quotePrefix="0" xfId="19">
      <alignment horizontal="center" vertical="bottom"/>
    </xf>
    <xf numFmtId="0" fontId="30" fillId="0" borderId="9" applyAlignment="1" pivotButton="0" quotePrefix="0" xfId="0">
      <alignment horizontal="center" vertical="center"/>
    </xf>
    <xf numFmtId="0" fontId="0" fillId="0" borderId="9" pivotButton="0" quotePrefix="0" xfId="0"/>
    <xf numFmtId="0" fontId="31" fillId="5" borderId="10" applyAlignment="1" pivotButton="0" quotePrefix="0" xfId="0">
      <alignment horizontal="center" vertical="center" wrapText="1"/>
    </xf>
    <xf numFmtId="173" fontId="31" fillId="5" borderId="10" applyAlignment="1" pivotButton="0" quotePrefix="0" xfId="0">
      <alignment horizontal="center" vertical="center" wrapText="1"/>
    </xf>
    <xf numFmtId="164" fontId="31" fillId="5" borderId="10" applyAlignment="1" pivotButton="0" quotePrefix="0" xfId="0">
      <alignment horizontal="center" vertical="center" wrapText="1"/>
    </xf>
    <xf numFmtId="9" fontId="31" fillId="5" borderId="10" applyAlignment="1" pivotButton="0" quotePrefix="0" xfId="19">
      <alignment horizontal="center" vertical="center" wrapText="1"/>
    </xf>
    <xf numFmtId="164" fontId="31" fillId="5" borderId="10" applyAlignment="1" pivotButton="0" quotePrefix="0" xfId="0">
      <alignment horizontal="left" vertical="center" wrapText="1" indent="15"/>
    </xf>
    <xf numFmtId="1" fontId="32" fillId="0" borderId="11" applyAlignment="1" pivotButton="0" quotePrefix="0" xfId="0">
      <alignment horizontal="center" vertical="center" shrinkToFit="1"/>
    </xf>
    <xf numFmtId="0" fontId="33" fillId="0" borderId="11" applyAlignment="1" pivotButton="0" quotePrefix="0" xfId="0">
      <alignment horizontal="center" vertical="center" wrapText="1"/>
    </xf>
    <xf numFmtId="1" fontId="33" fillId="0" borderId="11" applyAlignment="1" pivotButton="0" quotePrefix="0" xfId="0">
      <alignment horizontal="general" vertical="center"/>
    </xf>
    <xf numFmtId="174" fontId="34" fillId="0" borderId="11" applyAlignment="1" pivotButton="0" quotePrefix="0" xfId="0">
      <alignment horizontal="center" vertical="center" shrinkToFit="1"/>
    </xf>
    <xf numFmtId="169" fontId="34" fillId="0" borderId="11" applyAlignment="1" pivotButton="0" quotePrefix="0" xfId="0">
      <alignment horizontal="center" vertical="center" shrinkToFit="1"/>
    </xf>
    <xf numFmtId="169" fontId="33" fillId="0" borderId="11" applyAlignment="1" pivotButton="0" quotePrefix="0" xfId="0">
      <alignment horizontal="center" vertical="center" wrapText="1"/>
    </xf>
    <xf numFmtId="9" fontId="33" fillId="0" borderId="11" applyAlignment="1" pivotButton="0" quotePrefix="0" xfId="19">
      <alignment horizontal="center" vertical="center" wrapText="1"/>
    </xf>
    <xf numFmtId="164" fontId="34" fillId="0" borderId="11" applyAlignment="1" pivotButton="0" quotePrefix="0" xfId="0">
      <alignment horizontal="left" vertical="center" shrinkToFit="1" indent="15"/>
    </xf>
    <xf numFmtId="175" fontId="29" fillId="0" borderId="0" applyAlignment="1" pivotButton="0" quotePrefix="0" xfId="0">
      <alignment horizontal="center" vertical="bottom"/>
    </xf>
    <xf numFmtId="0" fontId="35" fillId="0" borderId="0" applyAlignment="1" pivotButton="0" quotePrefix="0" xfId="0">
      <alignment horizontal="center" vertical="bottom"/>
    </xf>
    <xf numFmtId="0" fontId="36" fillId="5" borderId="0" applyAlignment="1" pivotButton="0" quotePrefix="0" xfId="0">
      <alignment horizontal="center" vertical="center"/>
    </xf>
    <xf numFmtId="173" fontId="36" fillId="5" borderId="0" applyAlignment="1" pivotButton="0" quotePrefix="0" xfId="0">
      <alignment horizontal="center" vertical="center"/>
    </xf>
    <xf numFmtId="164" fontId="36" fillId="5" borderId="0" applyAlignment="1" pivotButton="0" quotePrefix="0" xfId="0">
      <alignment horizontal="center" vertical="center"/>
    </xf>
    <xf numFmtId="9" fontId="36" fillId="5" borderId="0" applyAlignment="1" pivotButton="0" quotePrefix="0" xfId="19">
      <alignment horizontal="center" vertical="center"/>
    </xf>
    <xf numFmtId="0" fontId="37" fillId="0" borderId="0" applyAlignment="1" pivotButton="0" quotePrefix="0" xfId="0">
      <alignment horizontal="center" vertical="bottom"/>
    </xf>
    <xf numFmtId="0" fontId="38" fillId="0" borderId="0" applyAlignment="1" pivotButton="0" quotePrefix="0" xfId="0">
      <alignment horizontal="general" vertical="bottom"/>
    </xf>
    <xf numFmtId="0" fontId="38" fillId="0" borderId="0" applyAlignment="1" pivotButton="0" quotePrefix="0" xfId="0">
      <alignment horizontal="center" vertical="bottom"/>
    </xf>
    <xf numFmtId="176" fontId="38" fillId="0" borderId="0" applyAlignment="1" pivotButton="0" quotePrefix="0" xfId="0">
      <alignment horizontal="center" vertical="bottom"/>
    </xf>
    <xf numFmtId="174" fontId="38" fillId="0" borderId="0" applyAlignment="1" pivotButton="0" quotePrefix="0" xfId="0">
      <alignment horizontal="center" vertical="bottom"/>
    </xf>
    <xf numFmtId="173" fontId="38" fillId="0" borderId="0" applyAlignment="1" pivotButton="0" quotePrefix="0" xfId="0">
      <alignment horizontal="center" vertical="bottom"/>
    </xf>
    <xf numFmtId="164" fontId="38" fillId="0" borderId="0" applyAlignment="1" pivotButton="0" quotePrefix="0" xfId="0">
      <alignment horizontal="center" vertical="bottom"/>
    </xf>
    <xf numFmtId="0" fontId="0" fillId="0" borderId="0" applyAlignment="1" pivotButton="0" quotePrefix="0" xfId="0">
      <alignment horizontal="general" vertical="bottom"/>
    </xf>
    <xf numFmtId="173" fontId="38" fillId="0" borderId="0" applyAlignment="1" pivotButton="0" quotePrefix="0" xfId="0">
      <alignment horizontal="center" vertical="center"/>
    </xf>
    <xf numFmtId="0" fontId="39" fillId="0" borderId="0" applyAlignment="1" pivotButton="0" quotePrefix="0" xfId="0">
      <alignment horizontal="center" vertical="center"/>
    </xf>
    <xf numFmtId="0" fontId="17" fillId="5" borderId="12" applyAlignment="1" pivotButton="0" quotePrefix="0" xfId="0">
      <alignment horizontal="left" vertical="center" indent="15"/>
    </xf>
    <xf numFmtId="0" fontId="17" fillId="5" borderId="12" applyAlignment="1" pivotButton="0" quotePrefix="0" xfId="0">
      <alignment horizontal="center" vertical="center"/>
    </xf>
    <xf numFmtId="176" fontId="17" fillId="5" borderId="12" applyAlignment="1" pivotButton="0" quotePrefix="0" xfId="0">
      <alignment horizontal="center" vertical="center"/>
    </xf>
    <xf numFmtId="174" fontId="17" fillId="5" borderId="12" applyAlignment="1" pivotButton="0" quotePrefix="0" xfId="0">
      <alignment horizontal="center" vertical="center"/>
    </xf>
    <xf numFmtId="173" fontId="17" fillId="5" borderId="12" applyAlignment="1" pivotButton="0" quotePrefix="0" xfId="0">
      <alignment horizontal="center" vertical="center"/>
    </xf>
    <xf numFmtId="164" fontId="17" fillId="5" borderId="12" applyAlignment="1" pivotButton="0" quotePrefix="0" xfId="0">
      <alignment horizontal="center" vertical="center"/>
    </xf>
    <xf numFmtId="173" fontId="39" fillId="0" borderId="0" applyAlignment="1" pivotButton="0" quotePrefix="0" xfId="0">
      <alignment horizontal="center" vertical="center"/>
    </xf>
    <xf numFmtId="0" fontId="38" fillId="0" borderId="0" applyAlignment="1" pivotButton="0" quotePrefix="0" xfId="0">
      <alignment horizontal="left" vertical="center"/>
    </xf>
    <xf numFmtId="0" fontId="40" fillId="0" borderId="13" applyAlignment="1" pivotButton="0" quotePrefix="0" xfId="0">
      <alignment horizontal="left" vertical="center" indent="15"/>
    </xf>
    <xf numFmtId="0" fontId="41" fillId="0" borderId="14" applyAlignment="1" pivotButton="0" quotePrefix="0" xfId="0">
      <alignment horizontal="left" vertical="center" indent="15"/>
    </xf>
    <xf numFmtId="177" fontId="41" fillId="0" borderId="14" applyAlignment="1" pivotButton="0" quotePrefix="0" xfId="0">
      <alignment horizontal="left" vertical="center" indent="15"/>
    </xf>
    <xf numFmtId="176" fontId="41" fillId="0" borderId="14" applyAlignment="1" pivotButton="0" quotePrefix="0" xfId="0">
      <alignment horizontal="left" vertical="center" indent="15"/>
    </xf>
    <xf numFmtId="174" fontId="41" fillId="0" borderId="14" applyAlignment="1" pivotButton="0" quotePrefix="0" xfId="0">
      <alignment horizontal="left" vertical="center" indent="15"/>
    </xf>
    <xf numFmtId="173" fontId="41" fillId="0" borderId="14" applyAlignment="1" pivotButton="0" quotePrefix="0" xfId="0">
      <alignment horizontal="left" vertical="center" indent="15"/>
    </xf>
    <xf numFmtId="164" fontId="41" fillId="0" borderId="15" applyAlignment="1" pivotButton="0" quotePrefix="0" xfId="0">
      <alignment horizontal="left" vertical="center" indent="15"/>
    </xf>
    <xf numFmtId="0" fontId="42" fillId="0" borderId="0" applyAlignment="1" pivotButton="0" quotePrefix="0" xfId="0">
      <alignment horizontal="left" vertical="center"/>
    </xf>
    <xf numFmtId="0" fontId="40" fillId="0" borderId="14" applyAlignment="1" pivotButton="0" quotePrefix="0" xfId="0">
      <alignment horizontal="center" vertical="center"/>
    </xf>
    <xf numFmtId="0" fontId="0" fillId="0" borderId="16" applyAlignment="1" pivotButton="0" quotePrefix="0" xfId="22">
      <alignment horizontal="general" vertical="bottom"/>
    </xf>
    <xf numFmtId="0" fontId="0" fillId="0" borderId="17" applyAlignment="1" pivotButton="0" quotePrefix="0" xfId="21">
      <alignment horizontal="general" vertical="bottom"/>
    </xf>
    <xf numFmtId="0" fontId="41" fillId="0" borderId="14" applyAlignment="1" pivotButton="0" quotePrefix="0" xfId="0">
      <alignment horizontal="center" vertical="center"/>
    </xf>
    <xf numFmtId="177" fontId="41" fillId="0" borderId="14" applyAlignment="1" pivotButton="0" quotePrefix="0" xfId="0">
      <alignment horizontal="center" vertical="center"/>
    </xf>
    <xf numFmtId="176" fontId="41" fillId="0" borderId="14" applyAlignment="1" pivotButton="0" quotePrefix="0" xfId="0">
      <alignment horizontal="center" vertical="center"/>
    </xf>
    <xf numFmtId="171" fontId="41" fillId="0" borderId="14" applyAlignment="1" pivotButton="0" quotePrefix="0" xfId="0">
      <alignment horizontal="center" vertical="center"/>
    </xf>
    <xf numFmtId="174" fontId="41" fillId="0" borderId="14" applyAlignment="1" pivotButton="0" quotePrefix="0" xfId="0">
      <alignment horizontal="center" vertical="center"/>
    </xf>
    <xf numFmtId="173" fontId="41" fillId="0" borderId="14" applyAlignment="1" pivotButton="0" quotePrefix="0" xfId="0">
      <alignment horizontal="center" vertical="center"/>
    </xf>
    <xf numFmtId="164" fontId="41" fillId="0" borderId="15" applyAlignment="1" pivotButton="0" quotePrefix="0" xfId="0">
      <alignment horizontal="center" vertical="center"/>
    </xf>
    <xf numFmtId="0" fontId="4" fillId="0" borderId="18" applyAlignment="1" pivotButton="0" quotePrefix="0" xfId="24">
      <alignment horizontal="left" vertical="bottom"/>
    </xf>
    <xf numFmtId="0" fontId="4" fillId="0" borderId="19" applyAlignment="1" pivotButton="0" quotePrefix="0" xfId="23">
      <alignment horizontal="general" vertical="bottom"/>
    </xf>
    <xf numFmtId="0" fontId="39" fillId="0" borderId="0" applyAlignment="1" pivotButton="0" quotePrefix="0" xfId="0">
      <alignment horizontal="left" vertical="center"/>
    </xf>
    <xf numFmtId="173" fontId="39" fillId="0" borderId="0" applyAlignment="1" pivotButton="0" quotePrefix="0" xfId="0">
      <alignment horizontal="left" vertical="center"/>
    </xf>
    <xf numFmtId="0" fontId="37" fillId="0" borderId="0" applyAlignment="1" pivotButton="0" quotePrefix="0" xfId="0">
      <alignment horizontal="left" vertical="center"/>
    </xf>
    <xf numFmtId="0" fontId="31" fillId="5" borderId="13" applyAlignment="1" pivotButton="0" quotePrefix="0" xfId="0">
      <alignment horizontal="left" vertical="center" indent="15"/>
    </xf>
    <xf numFmtId="0" fontId="31" fillId="5" borderId="14" applyAlignment="1" pivotButton="0" quotePrefix="0" xfId="0">
      <alignment horizontal="left" vertical="center" indent="15"/>
    </xf>
    <xf numFmtId="177" fontId="31" fillId="5" borderId="14" applyAlignment="1" pivotButton="0" quotePrefix="0" xfId="0">
      <alignment horizontal="left" vertical="center" indent="15"/>
    </xf>
    <xf numFmtId="176" fontId="31" fillId="5" borderId="14" applyAlignment="1" pivotButton="0" quotePrefix="0" xfId="0">
      <alignment horizontal="left" vertical="center" indent="15"/>
    </xf>
    <xf numFmtId="171" fontId="31" fillId="5" borderId="14" applyAlignment="1" pivotButton="0" quotePrefix="0" xfId="0">
      <alignment horizontal="left" vertical="center" indent="15"/>
    </xf>
    <xf numFmtId="174" fontId="31" fillId="5" borderId="14" applyAlignment="1" pivotButton="0" quotePrefix="0" xfId="0">
      <alignment horizontal="left" vertical="center" indent="15"/>
    </xf>
    <xf numFmtId="173" fontId="31" fillId="5" borderId="14" applyAlignment="1" pivotButton="0" quotePrefix="0" xfId="0">
      <alignment horizontal="left" vertical="center" indent="15"/>
    </xf>
    <xf numFmtId="164" fontId="31" fillId="5" borderId="15" applyAlignment="1" pivotButton="0" quotePrefix="0" xfId="0">
      <alignment horizontal="center" vertical="center"/>
    </xf>
    <xf numFmtId="164" fontId="31" fillId="5" borderId="15" applyAlignment="1" pivotButton="0" quotePrefix="0" xfId="0">
      <alignment horizontal="left" vertical="center" indent="15"/>
    </xf>
    <xf numFmtId="173" fontId="37" fillId="0" borderId="0" applyAlignment="1" pivotButton="0" quotePrefix="0" xfId="0">
      <alignment horizontal="center" vertical="center"/>
    </xf>
    <xf numFmtId="0" fontId="43" fillId="0" borderId="0" applyAlignment="1" pivotButton="0" quotePrefix="0" xfId="0">
      <alignment horizontal="left" vertical="center"/>
    </xf>
    <xf numFmtId="0" fontId="44" fillId="0" borderId="0" applyAlignment="1" pivotButton="0" quotePrefix="0" xfId="0">
      <alignment horizontal="general" vertical="bottom"/>
    </xf>
    <xf numFmtId="178" fontId="44" fillId="0" borderId="0" applyAlignment="1" pivotButton="0" quotePrefix="0" xfId="0">
      <alignment horizontal="general" vertical="bottom"/>
    </xf>
    <xf numFmtId="0" fontId="44" fillId="0" borderId="0" applyAlignment="1" pivotButton="0" quotePrefix="0" xfId="0">
      <alignment horizontal="center" vertical="bottom"/>
    </xf>
    <xf numFmtId="167" fontId="44" fillId="0" borderId="0" applyAlignment="1" pivotButton="0" quotePrefix="0" xfId="0">
      <alignment horizontal="center" vertical="bottom"/>
    </xf>
    <xf numFmtId="173" fontId="44" fillId="0" borderId="0" applyAlignment="1" pivotButton="0" quotePrefix="0" xfId="0">
      <alignment horizontal="center" vertical="center"/>
    </xf>
    <xf numFmtId="0" fontId="44" fillId="0" borderId="0" applyAlignment="1" pivotButton="0" quotePrefix="0" xfId="0">
      <alignment horizontal="left" vertical="bottom" indent="15"/>
    </xf>
    <xf numFmtId="9" fontId="44" fillId="0" borderId="0" applyAlignment="1" pivotButton="0" quotePrefix="0" xfId="19">
      <alignment horizontal="left" vertical="bottom" indent="15"/>
    </xf>
    <xf numFmtId="173" fontId="44" fillId="0" borderId="0" applyAlignment="1" pivotButton="0" quotePrefix="0" xfId="0">
      <alignment horizontal="general" vertical="bottom"/>
    </xf>
    <xf numFmtId="167" fontId="45" fillId="6" borderId="20" applyAlignment="1" pivotButton="0" quotePrefix="0" xfId="0">
      <alignment horizontal="left" vertical="center" indent="15"/>
    </xf>
    <xf numFmtId="0" fontId="0" fillId="0" borderId="20" pivotButton="0" quotePrefix="0" xfId="0"/>
    <xf numFmtId="9" fontId="46" fillId="0" borderId="0" applyAlignment="1" pivotButton="0" quotePrefix="0" xfId="19">
      <alignment horizontal="left" vertical="center" indent="15"/>
    </xf>
    <xf numFmtId="0" fontId="47" fillId="0" borderId="21" applyAlignment="1" pivotButton="0" quotePrefix="0" xfId="0">
      <alignment horizontal="left" vertical="center" indent="15"/>
    </xf>
    <xf numFmtId="0" fontId="48" fillId="0" borderId="21" applyAlignment="1" pivotButton="0" quotePrefix="0" xfId="0">
      <alignment horizontal="left" vertical="center" indent="15"/>
    </xf>
    <xf numFmtId="173" fontId="49" fillId="7" borderId="21" applyAlignment="1" pivotButton="0" quotePrefix="0" xfId="0">
      <alignment horizontal="left" vertical="center"/>
    </xf>
    <xf numFmtId="9" fontId="50" fillId="0" borderId="0" applyAlignment="1" pivotButton="0" quotePrefix="0" xfId="19">
      <alignment horizontal="left" vertical="center" indent="15"/>
    </xf>
    <xf numFmtId="0" fontId="15" fillId="0" borderId="21" applyAlignment="1" pivotButton="0" quotePrefix="0" xfId="0">
      <alignment horizontal="left" vertical="center" indent="15"/>
    </xf>
    <xf numFmtId="173" fontId="49" fillId="0" borderId="21" applyAlignment="1" pivotButton="0" quotePrefix="0" xfId="0">
      <alignment horizontal="left" vertical="center"/>
    </xf>
    <xf numFmtId="0" fontId="51" fillId="0" borderId="0" applyAlignment="1" pivotButton="0" quotePrefix="0" xfId="0">
      <alignment horizontal="general" vertical="bottom"/>
    </xf>
    <xf numFmtId="0" fontId="52" fillId="0" borderId="0" applyAlignment="1" pivotButton="0" quotePrefix="0" xfId="0">
      <alignment horizontal="left" vertical="center" indent="15"/>
    </xf>
    <xf numFmtId="0" fontId="53" fillId="0" borderId="0" applyAlignment="1" pivotButton="0" quotePrefix="0" xfId="0">
      <alignment horizontal="left" vertical="center" indent="15"/>
    </xf>
    <xf numFmtId="0" fontId="49" fillId="0" borderId="0" applyAlignment="1" pivotButton="0" quotePrefix="0" xfId="0">
      <alignment horizontal="left" vertical="center" indent="15"/>
    </xf>
    <xf numFmtId="10" fontId="49" fillId="0" borderId="21" applyAlignment="1" pivotButton="0" quotePrefix="0" xfId="19">
      <alignment horizontal="left" vertical="center"/>
    </xf>
    <xf numFmtId="0" fontId="54" fillId="0" borderId="0" applyAlignment="1" pivotButton="0" quotePrefix="0" xfId="0">
      <alignment horizontal="general" vertical="bottom"/>
    </xf>
    <xf numFmtId="178" fontId="54" fillId="0" borderId="0" applyAlignment="1" pivotButton="0" quotePrefix="0" xfId="0">
      <alignment horizontal="general" vertical="bottom"/>
    </xf>
    <xf numFmtId="0" fontId="55" fillId="0" borderId="0" applyAlignment="1" pivotButton="0" quotePrefix="0" xfId="0">
      <alignment horizontal="left" vertical="center" indent="15"/>
    </xf>
    <xf numFmtId="167" fontId="54" fillId="0" borderId="0" applyAlignment="1" pivotButton="0" quotePrefix="0" xfId="0">
      <alignment horizontal="center" vertical="bottom"/>
    </xf>
    <xf numFmtId="173" fontId="54" fillId="0" borderId="0" applyAlignment="1" pivotButton="0" quotePrefix="0" xfId="0">
      <alignment horizontal="center" vertical="center"/>
    </xf>
    <xf numFmtId="171" fontId="49" fillId="0" borderId="21" applyAlignment="1" pivotButton="0" quotePrefix="0" xfId="0">
      <alignment horizontal="left" vertical="center"/>
    </xf>
    <xf numFmtId="173" fontId="54" fillId="0" borderId="0" applyAlignment="1" pivotButton="0" quotePrefix="0" xfId="0">
      <alignment horizontal="general" vertical="bottom"/>
    </xf>
    <xf numFmtId="165" fontId="55" fillId="0" borderId="0" applyAlignment="1" pivotButton="0" quotePrefix="0" xfId="0">
      <alignment horizontal="left" vertical="center" indent="15"/>
    </xf>
    <xf numFmtId="0" fontId="54" fillId="0" borderId="21" applyAlignment="1" pivotButton="0" quotePrefix="0" xfId="0">
      <alignment horizontal="left" vertical="bottom" indent="15"/>
    </xf>
    <xf numFmtId="0" fontId="47" fillId="0" borderId="22" applyAlignment="1" pivotButton="0" quotePrefix="0" xfId="0">
      <alignment horizontal="left" vertical="center" indent="15"/>
    </xf>
    <xf numFmtId="0" fontId="15" fillId="0" borderId="22" applyAlignment="1" pivotButton="0" quotePrefix="0" xfId="0">
      <alignment horizontal="left" vertical="center" indent="15"/>
    </xf>
    <xf numFmtId="171" fontId="49" fillId="0" borderId="22" applyAlignment="1" pivotButton="0" quotePrefix="0" xfId="0">
      <alignment horizontal="left" vertical="center"/>
    </xf>
    <xf numFmtId="0" fontId="49" fillId="0" borderId="0" applyAlignment="1" pivotButton="0" quotePrefix="0" xfId="0">
      <alignment horizontal="center" vertical="center" wrapText="1"/>
    </xf>
    <xf numFmtId="0" fontId="56" fillId="8" borderId="6" applyAlignment="1" pivotButton="0" quotePrefix="0" xfId="0">
      <alignment horizontal="center" vertical="center" wrapText="1"/>
    </xf>
    <xf numFmtId="167" fontId="56" fillId="8" borderId="6" applyAlignment="1" pivotButton="0" quotePrefix="0" xfId="0">
      <alignment horizontal="center" vertical="center" wrapText="1"/>
    </xf>
    <xf numFmtId="173" fontId="56" fillId="8" borderId="6" applyAlignment="1" pivotButton="0" quotePrefix="0" xfId="0">
      <alignment horizontal="center" vertical="center" wrapText="1"/>
    </xf>
    <xf numFmtId="9" fontId="56" fillId="8" borderId="6" applyAlignment="1" pivotButton="0" quotePrefix="0" xfId="19">
      <alignment horizontal="center" vertical="center" wrapText="1"/>
    </xf>
    <xf numFmtId="0" fontId="57" fillId="0" borderId="0" applyAlignment="1" pivotButton="0" quotePrefix="0" xfId="0">
      <alignment horizontal="general" vertical="bottom"/>
    </xf>
    <xf numFmtId="179" fontId="58" fillId="0" borderId="4" applyAlignment="1" pivotButton="0" quotePrefix="0" xfId="0">
      <alignment horizontal="left" vertical="center" indent="15"/>
    </xf>
    <xf numFmtId="0" fontId="58" fillId="0" borderId="4" applyAlignment="1" pivotButton="0" quotePrefix="0" xfId="0">
      <alignment horizontal="center" vertical="center"/>
    </xf>
    <xf numFmtId="0" fontId="59" fillId="0" borderId="4" applyAlignment="1" pivotButton="0" quotePrefix="0" xfId="0">
      <alignment horizontal="left" vertical="center" wrapText="1" indent="15"/>
    </xf>
    <xf numFmtId="167" fontId="58" fillId="0" borderId="4" applyAlignment="1" pivotButton="0" quotePrefix="0" xfId="0">
      <alignment horizontal="center" vertical="center"/>
    </xf>
    <xf numFmtId="173" fontId="58" fillId="0" borderId="4" applyAlignment="1" pivotButton="0" quotePrefix="0" xfId="0">
      <alignment horizontal="center" vertical="center"/>
    </xf>
    <xf numFmtId="173" fontId="58" fillId="0" borderId="4" applyAlignment="1" pivotButton="0" quotePrefix="0" xfId="0">
      <alignment horizontal="left" vertical="center" indent="15"/>
    </xf>
    <xf numFmtId="167" fontId="58" fillId="0" borderId="4" applyAlignment="1" pivotButton="0" quotePrefix="0" xfId="0">
      <alignment horizontal="left" vertical="center" indent="15"/>
    </xf>
    <xf numFmtId="0" fontId="58" fillId="0" borderId="4" applyAlignment="1" pivotButton="0" quotePrefix="0" xfId="0">
      <alignment horizontal="left" vertical="center" indent="15"/>
    </xf>
    <xf numFmtId="9" fontId="58" fillId="0" borderId="4" applyAlignment="1" pivotButton="0" quotePrefix="0" xfId="19">
      <alignment horizontal="left" vertical="center" indent="15"/>
    </xf>
    <xf numFmtId="0" fontId="58" fillId="0" borderId="4" applyAlignment="1" pivotButton="0" quotePrefix="0" xfId="0">
      <alignment horizontal="left" vertical="center" wrapText="1" indent="15"/>
    </xf>
    <xf numFmtId="0" fontId="58" fillId="0" borderId="4" applyAlignment="1" pivotButton="0" quotePrefix="0" xfId="0">
      <alignment horizontal="left" vertical="bottom" indent="15"/>
    </xf>
    <xf numFmtId="9" fontId="58" fillId="0" borderId="4" applyAlignment="1" pivotButton="0" quotePrefix="0" xfId="19">
      <alignment horizontal="left" vertical="bottom" indent="15"/>
    </xf>
    <xf numFmtId="173" fontId="58" fillId="0" borderId="4" applyAlignment="1" pivotButton="0" quotePrefix="0" xfId="0">
      <alignment horizontal="left" vertical="bottom" indent="15"/>
    </xf>
    <xf numFmtId="0" fontId="57" fillId="0" borderId="0" applyAlignment="1" pivotButton="0" quotePrefix="0" xfId="0">
      <alignment horizontal="general" vertical="center"/>
    </xf>
    <xf numFmtId="0" fontId="60" fillId="0" borderId="4" applyAlignment="1" pivotButton="0" quotePrefix="0" xfId="0">
      <alignment horizontal="left" vertical="center" indent="15"/>
    </xf>
    <xf numFmtId="9" fontId="60" fillId="0" borderId="4" applyAlignment="1" pivotButton="0" quotePrefix="0" xfId="19">
      <alignment horizontal="left" vertical="center" indent="15"/>
    </xf>
    <xf numFmtId="173" fontId="60" fillId="0" borderId="4" applyAlignment="1" pivotButton="0" quotePrefix="0" xfId="0">
      <alignment horizontal="left" vertical="center" indent="15"/>
    </xf>
    <xf numFmtId="167" fontId="61" fillId="0" borderId="4" applyAlignment="1" pivotButton="0" quotePrefix="0" xfId="0">
      <alignment horizontal="center" vertical="center"/>
    </xf>
    <xf numFmtId="179" fontId="58" fillId="0" borderId="7" applyAlignment="1" pivotButton="0" quotePrefix="0" xfId="0">
      <alignment horizontal="left" vertical="center" indent="15"/>
    </xf>
    <xf numFmtId="0" fontId="58" fillId="0" borderId="7" applyAlignment="1" pivotButton="0" quotePrefix="0" xfId="0">
      <alignment horizontal="center" vertical="center"/>
    </xf>
    <xf numFmtId="0" fontId="59" fillId="0" borderId="7" applyAlignment="1" pivotButton="0" quotePrefix="0" xfId="0">
      <alignment horizontal="left" vertical="center" wrapText="1" indent="15"/>
    </xf>
    <xf numFmtId="167" fontId="58" fillId="0" borderId="7" applyAlignment="1" pivotButton="0" quotePrefix="0" xfId="0">
      <alignment horizontal="center" vertical="center"/>
    </xf>
    <xf numFmtId="173" fontId="58" fillId="0" borderId="7" applyAlignment="1" pivotButton="0" quotePrefix="0" xfId="0">
      <alignment horizontal="center" vertical="center"/>
    </xf>
    <xf numFmtId="173" fontId="58" fillId="0" borderId="7" applyAlignment="1" pivotButton="0" quotePrefix="0" xfId="0">
      <alignment horizontal="left" vertical="center" indent="15"/>
    </xf>
    <xf numFmtId="167" fontId="58" fillId="0" borderId="7" applyAlignment="1" pivotButton="0" quotePrefix="0" xfId="0">
      <alignment horizontal="left" vertical="center" indent="15"/>
    </xf>
    <xf numFmtId="0" fontId="58" fillId="0" borderId="7" applyAlignment="1" pivotButton="0" quotePrefix="0" xfId="0">
      <alignment horizontal="left" vertical="center" indent="15"/>
    </xf>
    <xf numFmtId="9" fontId="58" fillId="0" borderId="7" applyAlignment="1" pivotButton="0" quotePrefix="0" xfId="19">
      <alignment horizontal="left" vertical="center" indent="15"/>
    </xf>
  </cellXfs>
  <cellStyles count="12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  <cellStyle name="Pivot Table Category" xfId="6"/>
    <cellStyle name="Pivot Table Corner" xfId="7"/>
    <cellStyle name="Pivot Table Field" xfId="8"/>
    <cellStyle name="Pivot Table Result" xfId="9"/>
    <cellStyle name="Pivot Table Title" xfId="10"/>
    <cellStyle name="Pivot Table Value" xfId="11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name val="Calibri"/>
        <charset val="1"/>
        <family val="2"/>
        <color rgb="FF000000"/>
        <sz val="11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30303"/>
      <rgbColor rgb="FF808000"/>
      <rgbColor rgb="FF800080"/>
      <rgbColor rgb="FF008080"/>
      <rgbColor rgb="FFBFBFBF"/>
      <rgbColor rgb="FF808080"/>
      <rgbColor rgb="FF9999FF"/>
      <rgbColor rgb="FF993366"/>
      <rgbColor rgb="FFF2F2F2"/>
      <rgbColor rgb="FFCCFFFF"/>
      <rgbColor rgb="FF660066"/>
      <rgbColor rgb="FFFF8080"/>
      <rgbColor rgb="FF065A98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6EFCE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8D8E8E"/>
      <rgbColor rgb="FF203864"/>
      <rgbColor rgb="FF339966"/>
      <rgbColor rgb="FF181717"/>
      <rgbColor rgb="FF0D0D0D"/>
      <rgbColor rgb="FFE32827"/>
      <rgbColor rgb="FF993366"/>
      <rgbColor rgb="FF394AA9"/>
      <rgbColor rgb="FF262628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pivotCacheDefinition" Target="/xl/pivotCache/pivotCacheDefinition1.xml" Id="rId5"/><Relationship Type="http://schemas.openxmlformats.org/officeDocument/2006/relationships/externalLink" Target="/xl/externalLinks/externalLink1.xml" Id="rId6"/><Relationship Type="http://schemas.openxmlformats.org/officeDocument/2006/relationships/externalLink" Target="/xl/externalLinks/externalLink2.xml" Id="rId7"/><Relationship Type="http://schemas.openxmlformats.org/officeDocument/2006/relationships/styles" Target="styles.xml" Id="rId8"/><Relationship Type="http://schemas.openxmlformats.org/officeDocument/2006/relationships/theme" Target="theme/theme1.xml" Id="rId9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jpeg" Id="rId1"/><Relationship Type="http://schemas.openxmlformats.org/officeDocument/2006/relationships/image" Target="/xl/media/image2.png" Id="rId2"/></Relationships>
</file>

<file path=xl/drawings/_rels/drawing2.xml.rels><Relationships xmlns="http://schemas.openxmlformats.org/package/2006/relationships"><Relationship Type="http://schemas.openxmlformats.org/officeDocument/2006/relationships/image" Target="/xl/media/image3.jpeg" Id="rId1"/></Relationships>
</file>

<file path=xl/drawings/drawing1.xml><?xml version="1.0" encoding="utf-8"?>
<wsDr xmlns="http://schemas.openxmlformats.org/drawingml/2006/spreadsheetDrawing">
  <twoCellAnchor editAs="oneCell">
    <from>
      <col>6</col>
      <colOff>1206360</colOff>
      <row>1</row>
      <rowOff>360</rowOff>
    </from>
    <to>
      <col>7</col>
      <colOff>3225600</colOff>
      <row>5</row>
      <rowOff>93240</rowOff>
    </to>
    <pic>
      <nvPicPr>
        <cNvPr id="0" name="Picture 5" descr=""/>
        <cNvPicPr/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9116280" y="165240"/>
          <a:ext cx="3820320" cy="1321560"/>
        </a:xfrm>
        <a:prstGeom xmlns:a="http://schemas.openxmlformats.org/drawingml/2006/main" prst="rect">
          <avLst/>
        </a:prstGeom>
        <a:ln xmlns:a="http://schemas.openxmlformats.org/drawingml/2006/main">
          <a:noFill/>
          <a:prstDash val="solid"/>
        </a:ln>
      </spPr>
    </pic>
    <clientData/>
  </twoCellAnchor>
  <twoCellAnchor editAs="oneCell">
    <from>
      <col>2</col>
      <colOff>1602000</colOff>
      <row>31</row>
      <rowOff>132840</rowOff>
    </from>
    <to>
      <col>7</col>
      <colOff>519120</colOff>
      <row>36</row>
      <rowOff>127800</rowOff>
    </to>
    <pic>
      <nvPicPr>
        <cNvPr id="1" name="Picture 1" descr="A black and white logo&#10;&#10;Description automatically generated"/>
        <cNvPicPr/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2577240" y="11791800"/>
          <a:ext cx="7652880" cy="1047960"/>
        </a:xfrm>
        <a:prstGeom xmlns:a="http://schemas.openxmlformats.org/drawingml/2006/main" prst="rect">
          <avLst/>
        </a:prstGeom>
        <a:ln xmlns:a="http://schemas.openxmlformats.org/drawingml/2006/main">
          <a:noFill/>
          <a:prstDash val="solid"/>
        </a:ln>
      </spPr>
    </pic>
    <clientData/>
  </twoCellAnchor>
</wsDr>
</file>

<file path=xl/drawings/drawing2.xml><?xml version="1.0" encoding="utf-8"?>
<wsDr xmlns="http://schemas.openxmlformats.org/drawingml/2006/spreadsheetDrawing">
  <twoCellAnchor editAs="oneCell">
    <from>
      <col>2</col>
      <colOff>257040</colOff>
      <row>1</row>
      <rowOff>174600</rowOff>
    </from>
    <to>
      <col>3</col>
      <colOff>2771280</colOff>
      <row>4</row>
      <rowOff>408960</rowOff>
    </to>
    <pic>
      <nvPicPr>
        <cNvPr id="2" name="Picture 1" descr=""/>
        <cNvPicPr/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2706840" y="373320"/>
          <a:ext cx="4430520" cy="2087640"/>
        </a:xfrm>
        <a:prstGeom xmlns:a="http://schemas.openxmlformats.org/drawingml/2006/main" prst="rect">
          <avLst/>
        </a:prstGeom>
        <a:ln xmlns:a="http://schemas.openxmlformats.org/drawingml/2006/main">
          <a:noFill/>
          <a:prstDash val="solid"/>
        </a:ln>
      </spPr>
    </pic>
    <clientData/>
  </twoCellAnchor>
</wsDr>
</file>

<file path=xl/externalLinks/_rels/externalLink1.xml.rels><Relationships xmlns="http://schemas.openxmlformats.org/package/2006/relationships"><Relationship Type="http://schemas.openxmlformats.org/officeDocument/2006/relationships/externalLinkPath" Target="https://jetsteelcouk-my.sharepoint.com/QS%20Project%20Share/C1788%20-%2081%20Newgate%20Street/3.%20Variations/C1788%2081%20NGS%20Variation%20Register.xlsm" TargetMode="External" Id="rId1"/></Relationships>
</file>

<file path=xl/externalLinks/_rels/externalLink2.xml.rels><Relationships xmlns="http://schemas.openxmlformats.org/package/2006/relationships"><Relationship Type="http://schemas.openxmlformats.org/officeDocument/2006/relationships/externalLinkPath" Target="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000%20Projects%20Live/Projects%20P24-/P24-1133%20Ballinrees%20WTW/16.%20Commercial/3.%20Variations/P24_1133%20WTW%20Ballinrees%20Variation%20Register.xlsx" TargetMode="External" Id="rId1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ariation Register "/>
      <sheetName val="Variation Register"/>
      <sheetName val="Daywork Tracker"/>
      <sheetName val="Daywork Pivot"/>
      <sheetName val="V91 Tracker"/>
      <sheetName val="V91_Input"/>
      <sheetName val="Admin"/>
      <sheetName val="Site Works Register"/>
      <sheetName val="Daywork Rates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Variation Register"/>
      <sheetName val="Daywork Rates"/>
      <sheetName val="Daywork_Tracker"/>
    </sheetNames>
    <sheetDataSet>
      <sheetData sheetId="0"/>
      <sheetData sheetId="1"/>
      <sheetData sheetId="2"/>
    </sheetDataSet>
  </externalBook>
</externalLink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createdVersion="3" recordCount="43" r:id="rId1">
  <cacheSource type="worksheet">
    <worksheetSource ref="A2:K45" sheet="BoQ_Detailed "/>
  </cacheSource>
  <cacheFields count="11">
    <cacheField name="Ref " uniqueList="1" numFmtId="0" sqlType="0" hierarchy="0" level="0" databaseField="1">
      <sharedItems count="40" containsBlank="1" containsInteger="1" containsNumber="1" containsString="0" minValue="1" maxValue="39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m/>
      </sharedItems>
    </cacheField>
    <cacheField name="Item" uniqueList="1" numFmtId="0" sqlType="0" hierarchy="0" level="0" databaseField="1">
      <sharedItems count="2" containsBlank="1">
        <s v="Steelwork Supply &amp; Install"/>
        <m/>
      </sharedItems>
    </cacheField>
    <cacheField name="Cat" uniqueList="1" numFmtId="0" sqlType="0" hierarchy="0" level="0" databaseField="1">
      <sharedItems count="1" containsBlank="1" containsString="0">
        <m/>
      </sharedItems>
    </cacheField>
    <cacheField name="Type" uniqueList="1" numFmtId="0" sqlType="0" hierarchy="0" level="0" databaseField="1">
      <sharedItems count="1" containsBlank="1" containsString="0">
        <m/>
      </sharedItems>
    </cacheField>
    <cacheField name="Zone" uniqueList="1" numFmtId="0" sqlType="0" hierarchy="0" level="0" databaseField="1">
      <sharedItems count="1" containsBlank="1" containsString="0">
        <m/>
      </sharedItems>
    </cacheField>
    <cacheField name="ACW" uniqueList="1" numFmtId="0" sqlType="0" hierarchy="0" level="0" databaseField="1">
      <sharedItems count="1" containsBlank="1" containsString="0">
        <m/>
      </sharedItems>
    </cacheField>
    <cacheField name="Pcs" uniqueList="1" numFmtId="0" sqlType="0" hierarchy="0" level="0" databaseField="1">
      <sharedItems count="1" containsBlank="1" containsString="0">
        <m/>
      </sharedItems>
    </cacheField>
    <cacheField name="QTY" uniqueList="1" numFmtId="0" sqlType="0" hierarchy="0" level="0" databaseField="1">
      <sharedItems count="1" containsBlank="1" containsString="0">
        <m/>
      </sharedItems>
    </cacheField>
    <cacheField name="Unit" uniqueList="1" numFmtId="0" sqlType="0" hierarchy="0" level="0" databaseField="1">
      <sharedItems count="1" containsBlank="1" containsString="0">
        <m/>
      </sharedItems>
    </cacheField>
    <cacheField name="Rate " uniqueList="1" numFmtId="0" sqlType="0" hierarchy="0" level="0" databaseField="1">
      <sharedItems count="2" containsBlank="1">
        <s v="Total:"/>
        <m/>
      </sharedItems>
    </cacheField>
    <cacheField name="Total " uniqueList="1" numFmtId="0" sqlType="0" hierarchy="0" level="0" databaseField="1">
      <sharedItems count="2" containsBlank="1" containsNumber="1" containsString="0" minValue="255083.791" maxValue="255083.791">
        <n v="255083.791"/>
        <m/>
      </sharedItems>
    </cacheField>
  </cacheFields>
</pivotCacheDefinition>
</file>

<file path=xl/pivotCache/pivotCacheRecords1.xml><?xml version="1.0" encoding="utf-8"?>
<pivotCacheRecords xmlns="http://schemas.openxmlformats.org/spreadsheetml/2006/main" count="43">
  <r>
    <x v="39"/>
    <x v="1"/>
    <x v="0"/>
    <x v="0"/>
    <x v="0"/>
    <x v="0"/>
    <x v="0"/>
    <x v="0"/>
    <x v="0"/>
    <x v="1"/>
    <x v="1"/>
  </r>
  <r>
    <x v="39"/>
    <x v="0"/>
    <x v="0"/>
    <x v="0"/>
    <x v="0"/>
    <x v="0"/>
    <x v="0"/>
    <x v="0"/>
    <x v="0"/>
    <x v="1"/>
    <x v="1"/>
  </r>
  <r>
    <x v="0"/>
    <x v="1"/>
    <x v="0"/>
    <x v="0"/>
    <x v="0"/>
    <x v="0"/>
    <x v="0"/>
    <x v="0"/>
    <x v="0"/>
    <x v="1"/>
    <x v="1"/>
  </r>
  <r>
    <x v="1"/>
    <x v="1"/>
    <x v="0"/>
    <x v="0"/>
    <x v="0"/>
    <x v="0"/>
    <x v="0"/>
    <x v="0"/>
    <x v="0"/>
    <x v="1"/>
    <x v="1"/>
  </r>
  <r>
    <x v="2"/>
    <x v="1"/>
    <x v="0"/>
    <x v="0"/>
    <x v="0"/>
    <x v="0"/>
    <x v="0"/>
    <x v="0"/>
    <x v="0"/>
    <x v="1"/>
    <x v="1"/>
  </r>
  <r>
    <x v="3"/>
    <x v="1"/>
    <x v="0"/>
    <x v="0"/>
    <x v="0"/>
    <x v="0"/>
    <x v="0"/>
    <x v="0"/>
    <x v="0"/>
    <x v="1"/>
    <x v="1"/>
  </r>
  <r>
    <x v="4"/>
    <x v="1"/>
    <x v="0"/>
    <x v="0"/>
    <x v="0"/>
    <x v="0"/>
    <x v="0"/>
    <x v="0"/>
    <x v="0"/>
    <x v="1"/>
    <x v="1"/>
  </r>
  <r>
    <x v="5"/>
    <x v="1"/>
    <x v="0"/>
    <x v="0"/>
    <x v="0"/>
    <x v="0"/>
    <x v="0"/>
    <x v="0"/>
    <x v="0"/>
    <x v="1"/>
    <x v="1"/>
  </r>
  <r>
    <x v="6"/>
    <x v="1"/>
    <x v="0"/>
    <x v="0"/>
    <x v="0"/>
    <x v="0"/>
    <x v="0"/>
    <x v="0"/>
    <x v="0"/>
    <x v="1"/>
    <x v="1"/>
  </r>
  <r>
    <x v="7"/>
    <x v="1"/>
    <x v="0"/>
    <x v="0"/>
    <x v="0"/>
    <x v="0"/>
    <x v="0"/>
    <x v="0"/>
    <x v="0"/>
    <x v="1"/>
    <x v="1"/>
  </r>
  <r>
    <x v="8"/>
    <x v="1"/>
    <x v="0"/>
    <x v="0"/>
    <x v="0"/>
    <x v="0"/>
    <x v="0"/>
    <x v="0"/>
    <x v="0"/>
    <x v="1"/>
    <x v="1"/>
  </r>
  <r>
    <x v="9"/>
    <x v="1"/>
    <x v="0"/>
    <x v="0"/>
    <x v="0"/>
    <x v="0"/>
    <x v="0"/>
    <x v="0"/>
    <x v="0"/>
    <x v="1"/>
    <x v="1"/>
  </r>
  <r>
    <x v="10"/>
    <x v="1"/>
    <x v="0"/>
    <x v="0"/>
    <x v="0"/>
    <x v="0"/>
    <x v="0"/>
    <x v="0"/>
    <x v="0"/>
    <x v="1"/>
    <x v="1"/>
  </r>
  <r>
    <x v="11"/>
    <x v="1"/>
    <x v="0"/>
    <x v="0"/>
    <x v="0"/>
    <x v="0"/>
    <x v="0"/>
    <x v="0"/>
    <x v="0"/>
    <x v="1"/>
    <x v="1"/>
  </r>
  <r>
    <x v="12"/>
    <x v="1"/>
    <x v="0"/>
    <x v="0"/>
    <x v="0"/>
    <x v="0"/>
    <x v="0"/>
    <x v="0"/>
    <x v="0"/>
    <x v="1"/>
    <x v="1"/>
  </r>
  <r>
    <x v="13"/>
    <x v="1"/>
    <x v="0"/>
    <x v="0"/>
    <x v="0"/>
    <x v="0"/>
    <x v="0"/>
    <x v="0"/>
    <x v="0"/>
    <x v="1"/>
    <x v="1"/>
  </r>
  <r>
    <x v="14"/>
    <x v="1"/>
    <x v="0"/>
    <x v="0"/>
    <x v="0"/>
    <x v="0"/>
    <x v="0"/>
    <x v="0"/>
    <x v="0"/>
    <x v="1"/>
    <x v="1"/>
  </r>
  <r>
    <x v="15"/>
    <x v="1"/>
    <x v="0"/>
    <x v="0"/>
    <x v="0"/>
    <x v="0"/>
    <x v="0"/>
    <x v="0"/>
    <x v="0"/>
    <x v="1"/>
    <x v="1"/>
  </r>
  <r>
    <x v="16"/>
    <x v="1"/>
    <x v="0"/>
    <x v="0"/>
    <x v="0"/>
    <x v="0"/>
    <x v="0"/>
    <x v="0"/>
    <x v="0"/>
    <x v="1"/>
    <x v="1"/>
  </r>
  <r>
    <x v="17"/>
    <x v="1"/>
    <x v="0"/>
    <x v="0"/>
    <x v="0"/>
    <x v="0"/>
    <x v="0"/>
    <x v="0"/>
    <x v="0"/>
    <x v="1"/>
    <x v="1"/>
  </r>
  <r>
    <x v="18"/>
    <x v="1"/>
    <x v="0"/>
    <x v="0"/>
    <x v="0"/>
    <x v="0"/>
    <x v="0"/>
    <x v="0"/>
    <x v="0"/>
    <x v="1"/>
    <x v="1"/>
  </r>
  <r>
    <x v="19"/>
    <x v="1"/>
    <x v="0"/>
    <x v="0"/>
    <x v="0"/>
    <x v="0"/>
    <x v="0"/>
    <x v="0"/>
    <x v="0"/>
    <x v="1"/>
    <x v="1"/>
  </r>
  <r>
    <x v="20"/>
    <x v="1"/>
    <x v="0"/>
    <x v="0"/>
    <x v="0"/>
    <x v="0"/>
    <x v="0"/>
    <x v="0"/>
    <x v="0"/>
    <x v="1"/>
    <x v="1"/>
  </r>
  <r>
    <x v="21"/>
    <x v="1"/>
    <x v="0"/>
    <x v="0"/>
    <x v="0"/>
    <x v="0"/>
    <x v="0"/>
    <x v="0"/>
    <x v="0"/>
    <x v="1"/>
    <x v="1"/>
  </r>
  <r>
    <x v="22"/>
    <x v="1"/>
    <x v="0"/>
    <x v="0"/>
    <x v="0"/>
    <x v="0"/>
    <x v="0"/>
    <x v="0"/>
    <x v="0"/>
    <x v="1"/>
    <x v="1"/>
  </r>
  <r>
    <x v="23"/>
    <x v="1"/>
    <x v="0"/>
    <x v="0"/>
    <x v="0"/>
    <x v="0"/>
    <x v="0"/>
    <x v="0"/>
    <x v="0"/>
    <x v="1"/>
    <x v="1"/>
  </r>
  <r>
    <x v="24"/>
    <x v="1"/>
    <x v="0"/>
    <x v="0"/>
    <x v="0"/>
    <x v="0"/>
    <x v="0"/>
    <x v="0"/>
    <x v="0"/>
    <x v="1"/>
    <x v="1"/>
  </r>
  <r>
    <x v="25"/>
    <x v="1"/>
    <x v="0"/>
    <x v="0"/>
    <x v="0"/>
    <x v="0"/>
    <x v="0"/>
    <x v="0"/>
    <x v="0"/>
    <x v="1"/>
    <x v="1"/>
  </r>
  <r>
    <x v="26"/>
    <x v="1"/>
    <x v="0"/>
    <x v="0"/>
    <x v="0"/>
    <x v="0"/>
    <x v="0"/>
    <x v="0"/>
    <x v="0"/>
    <x v="1"/>
    <x v="1"/>
  </r>
  <r>
    <x v="27"/>
    <x v="1"/>
    <x v="0"/>
    <x v="0"/>
    <x v="0"/>
    <x v="0"/>
    <x v="0"/>
    <x v="0"/>
    <x v="0"/>
    <x v="1"/>
    <x v="1"/>
  </r>
  <r>
    <x v="28"/>
    <x v="1"/>
    <x v="0"/>
    <x v="0"/>
    <x v="0"/>
    <x v="0"/>
    <x v="0"/>
    <x v="0"/>
    <x v="0"/>
    <x v="1"/>
    <x v="1"/>
  </r>
  <r>
    <x v="29"/>
    <x v="1"/>
    <x v="0"/>
    <x v="0"/>
    <x v="0"/>
    <x v="0"/>
    <x v="0"/>
    <x v="0"/>
    <x v="0"/>
    <x v="1"/>
    <x v="1"/>
  </r>
  <r>
    <x v="30"/>
    <x v="1"/>
    <x v="0"/>
    <x v="0"/>
    <x v="0"/>
    <x v="0"/>
    <x v="0"/>
    <x v="0"/>
    <x v="0"/>
    <x v="1"/>
    <x v="1"/>
  </r>
  <r>
    <x v="31"/>
    <x v="1"/>
    <x v="0"/>
    <x v="0"/>
    <x v="0"/>
    <x v="0"/>
    <x v="0"/>
    <x v="0"/>
    <x v="0"/>
    <x v="1"/>
    <x v="1"/>
  </r>
  <r>
    <x v="32"/>
    <x v="1"/>
    <x v="0"/>
    <x v="0"/>
    <x v="0"/>
    <x v="0"/>
    <x v="0"/>
    <x v="0"/>
    <x v="0"/>
    <x v="1"/>
    <x v="1"/>
  </r>
  <r>
    <x v="33"/>
    <x v="1"/>
    <x v="0"/>
    <x v="0"/>
    <x v="0"/>
    <x v="0"/>
    <x v="0"/>
    <x v="0"/>
    <x v="0"/>
    <x v="1"/>
    <x v="1"/>
  </r>
  <r>
    <x v="39"/>
    <x v="1"/>
    <x v="0"/>
    <x v="0"/>
    <x v="0"/>
    <x v="0"/>
    <x v="0"/>
    <x v="0"/>
    <x v="0"/>
    <x v="1"/>
    <x v="1"/>
  </r>
  <r>
    <x v="34"/>
    <x v="1"/>
    <x v="0"/>
    <x v="0"/>
    <x v="0"/>
    <x v="0"/>
    <x v="0"/>
    <x v="0"/>
    <x v="0"/>
    <x v="1"/>
    <x v="1"/>
  </r>
  <r>
    <x v="35"/>
    <x v="1"/>
    <x v="0"/>
    <x v="0"/>
    <x v="0"/>
    <x v="0"/>
    <x v="0"/>
    <x v="0"/>
    <x v="0"/>
    <x v="1"/>
    <x v="1"/>
  </r>
  <r>
    <x v="36"/>
    <x v="1"/>
    <x v="0"/>
    <x v="0"/>
    <x v="0"/>
    <x v="0"/>
    <x v="0"/>
    <x v="0"/>
    <x v="0"/>
    <x v="1"/>
    <x v="1"/>
  </r>
  <r>
    <x v="37"/>
    <x v="1"/>
    <x v="0"/>
    <x v="0"/>
    <x v="0"/>
    <x v="0"/>
    <x v="0"/>
    <x v="0"/>
    <x v="0"/>
    <x v="1"/>
    <x v="1"/>
  </r>
  <r>
    <x v="38"/>
    <x v="1"/>
    <x v="0"/>
    <x v="0"/>
    <x v="0"/>
    <x v="0"/>
    <x v="0"/>
    <x v="0"/>
    <x v="0"/>
    <x v="1"/>
    <x v="1"/>
  </r>
  <r>
    <x v="39"/>
    <x v="1"/>
    <x v="0"/>
    <x v="0"/>
    <x v="0"/>
    <x v="0"/>
    <x v="0"/>
    <x v="0"/>
    <x v="0"/>
    <x v="0"/>
    <x v="0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PivotTable1" cacheId="1" dataOnRows="0" dataCaption="Values" showError="0" showMissing="1" updatedVersion="0" minRefreshableVersion="0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0" pageWrap="0" pageOverThenDown="0" subtotalHiddenItems="0" rowGrandTotals="1" colGrandTotals="1" fieldPrintTitles="0" itemPrintTitles="1" mergeItem="0" showDropZones="1" createdVersion="0" indent="0" showEmptyRow="0" showEmptyCol="0" showHeaders="1" compact="0" outline="1" outlineData="1" compactData="0" published="0" gridDropZones="0" immersive="1" multipleFieldFilters="0" chartFormat="0" fieldListSortAscending="0" mdxSubqueries="0" applyNumberFormats="0" applyBorderFormats="0" applyFontFormats="0" applyPatternFormats="0" applyAlignmentFormats="0" applyWidthHeightFormats="0" r:id="rId1">
  <location ref="M4:N5" firstHeaderRow="1" firstDataRow="1" firstDataCol="1"/>
  <pivotFields count="11"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axis="axisRow" showDropDowns="1" compact="0" outline="1" subtotalTop="1" dragToRow="1" dragToCol="1" dragToPage="1" dragToData="1" dragOff="1" showAll="0" topAutoShow="1" itemPageCount="10" sortType="manual" defaultSubtotal="1">
      <items count="2">
        <item t="data" h="1" sd="1" x="0"/>
        <item t="default" sd="1"/>
      </items>
    </pivotField>
    <pivotField showDropDowns="1" compact="0" outline="1" subtotalTop="1" dragToRow="1" dragToCol="1" dragToPage="1" dragToData="1" dragOff="1" showAll="0" topAutoShow="1" itemPageCount="10" sortType="manual" defaultSubtotal="1"/>
    <pivotField axis="axisRow" showDropDowns="1" compact="0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dataField="1"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</pivotFields>
  <rowFields count="2">
    <field x="4"/>
    <field x="2"/>
  </rowFields>
  <dataFields count="1">
    <dataField name="Sum of QTY" fld="7" subtotal="sum" showDataAs="normal" baseField="-1" baseItem="1048832" numFmtId="164"/>
  </dataField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Table18" displayName="Table18" ref="A2:K45" headerRowCount="1" totalsRowCount="0" totalsRowShown="0">
  <autoFilter ref="A2:K45"/>
  <tableColumns count="11">
    <tableColumn id="1" name="Ref "/>
    <tableColumn id="2" name="Item"/>
    <tableColumn id="3" name="Cat"/>
    <tableColumn id="4" name="Type"/>
    <tableColumn id="5" name="Zone"/>
    <tableColumn id="6" name="ACW"/>
    <tableColumn id="7" name="Pcs"/>
    <tableColumn id="8" name="QTY"/>
    <tableColumn id="9" name="Unit"/>
    <tableColumn id="10" name="Rate "/>
    <tableColumn id="11" name="Total "/>
  </tableColumns>
</table>
</file>

<file path=xl/tables/table2.xml><?xml version="1.0" encoding="utf-8"?>
<table xmlns="http://schemas.openxmlformats.org/spreadsheetml/2006/main" id="2" name="Table14" displayName="Table14" ref="B13:N89" headerRowCount="1" totalsRowCount="0" totalsRowShown="0">
  <autoFilter ref="B13:N89"/>
  <tableColumns count="13">
    <tableColumn id="1" name="Client Ref"/>
    <tableColumn id="2" name=" VO"/>
    <tableColumn id="3" name="Description"/>
    <tableColumn id="4" name="Submission "/>
    <tableColumn id="5" name="Value £"/>
    <tableColumn id="6" name="Dayworks  "/>
    <tableColumn id="7" name="Daywork Total"/>
    <tableColumn id="8" name="Status"/>
    <tableColumn id="9" name="Date Agreed"/>
    <tableColumn id="10" name="Notes"/>
    <tableColumn id="11" name="Progress %"/>
    <tableColumn id="12" name="Progress £"/>
    <tableColumn id="13" name="Progress Notes"/>
  </tableColumns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Relationship Type="http://schemas.openxmlformats.org/officeDocument/2006/relationships/pivotTable" Target="/xl/pivotTables/pivot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sheet1.xml><?xml version="1.0" encoding="utf-8"?>
<worksheet xmlns="http://schemas.openxmlformats.org/spreadsheetml/2006/main">
  <sheetPr filterMode="0">
    <tabColor rgb="FFBFBFBF"/>
    <outlinePr summaryBelow="1" summaryRight="1"/>
    <pageSetUpPr fitToPage="1"/>
  </sheetPr>
  <dimension ref="B2:R35"/>
  <sheetViews>
    <sheetView showFormulas="0" showGridLines="0" showRowColHeaders="1" showZeros="1" rightToLeft="0" tabSelected="0" showOutlineSymbols="1" defaultGridColor="1" view="pageBreakPreview" topLeftCell="A22" colorId="64" zoomScale="86" zoomScaleNormal="86" zoomScalePageLayoutView="86" workbookViewId="0">
      <selection pane="topLeft" activeCell="H12" activeCellId="0" sqref="H12"/>
    </sheetView>
  </sheetViews>
  <sheetFormatPr baseColWidth="8" defaultColWidth="8.82421875" defaultRowHeight="13" zeroHeight="0" outlineLevelRow="0"/>
  <cols>
    <col width="2.27" customWidth="1" style="235" min="1" max="1"/>
    <col width="8.699999999999999" customWidth="1" style="235" min="2" max="2"/>
    <col width="18.98" customWidth="1" style="236" min="3" max="3"/>
    <col width="20.51" customWidth="1" style="236" min="4" max="4"/>
    <col width="19.28" customWidth="1" style="237" min="5" max="5"/>
    <col width="19.22" customWidth="1" style="238" min="6" max="6"/>
    <col width="20.25" customWidth="1" style="239" min="7" max="7"/>
    <col width="36.82" customWidth="1" style="235" min="8" max="8"/>
    <col width="1.27" customWidth="1" style="235" min="9" max="9"/>
    <col width="1.47" customWidth="1" style="235" min="10" max="10"/>
    <col width="0.82" customWidth="1" style="235" min="11" max="11"/>
    <col width="8.82" customWidth="1" style="235" min="12" max="1024"/>
  </cols>
  <sheetData>
    <row r="2" ht="34.5" customFormat="1" customHeight="1" s="240">
      <c r="B2" s="241" t="inlineStr">
        <is>
          <t>Application For Payment</t>
        </is>
      </c>
    </row>
    <row r="3" ht="24.75" customFormat="1" customHeight="1" s="242">
      <c r="B3" s="243" t="inlineStr">
        <is>
          <t xml:space="preserve">Struct Steel Engineering Ltd. </t>
        </is>
      </c>
      <c r="E3" s="244" t="n"/>
    </row>
    <row r="4" ht="18.75" customFormat="1" customHeight="1" s="236">
      <c r="B4" s="245" t="inlineStr">
        <is>
          <t xml:space="preserve">38 Farnamullan Road, Faughard, Enniskillen, United </t>
        </is>
      </c>
      <c r="E4" s="237" t="n"/>
    </row>
    <row r="5" ht="18.75" customFormat="1" customHeight="1" s="236">
      <c r="B5" s="246" t="inlineStr">
        <is>
          <t>+44 28 6638 7001</t>
        </is>
      </c>
      <c r="E5" s="237" t="n"/>
    </row>
    <row r="6" ht="18.75" customFormat="1" customHeight="1" s="236">
      <c r="B6" s="247" t="inlineStr">
        <is>
          <t>structsteeleng.co.uk</t>
        </is>
      </c>
      <c r="C6" s="248" t="n"/>
      <c r="D6" s="248" t="n"/>
      <c r="E6" s="249" t="n"/>
      <c r="F6" s="248" t="n"/>
      <c r="G6" s="248" t="n"/>
      <c r="H6" s="248" t="n"/>
    </row>
    <row r="7" ht="13.5" customFormat="1" customHeight="1" s="242">
      <c r="B7" s="250" t="n"/>
      <c r="E7" s="244" t="n"/>
    </row>
    <row r="8" ht="25.15" customHeight="1" s="251">
      <c r="B8" s="252" t="inlineStr">
        <is>
          <t>Client</t>
        </is>
      </c>
      <c r="C8" s="253" t="n"/>
      <c r="D8" s="254" t="n"/>
      <c r="E8" s="255" t="n"/>
      <c r="F8" s="256" t="inlineStr">
        <is>
          <t>Project:</t>
        </is>
      </c>
      <c r="G8" s="257" t="n"/>
      <c r="H8" s="258" t="inlineStr">
        <is>
          <t>Doncaster Unit 02 &amp; 03</t>
        </is>
      </c>
      <c r="I8" s="259" t="n"/>
    </row>
    <row r="9" ht="25.15" customFormat="1" customHeight="1" s="260">
      <c r="B9" s="261" t="inlineStr">
        <is>
          <t>Fit Out (UK) Ltd</t>
        </is>
      </c>
      <c r="C9" s="262" t="n"/>
      <c r="D9" s="263" t="n"/>
      <c r="E9" s="264" t="n"/>
      <c r="F9" s="265" t="inlineStr">
        <is>
          <t>Application Number:</t>
        </is>
      </c>
      <c r="G9" s="266" t="n"/>
      <c r="H9" s="267" t="n">
        <v>1</v>
      </c>
      <c r="I9" s="268" t="n"/>
    </row>
    <row r="10" ht="25.15" customFormat="1" customHeight="1" s="260">
      <c r="B10" s="269" t="inlineStr">
        <is>
          <t>27 Abbey Rd, London</t>
        </is>
      </c>
      <c r="C10" s="270" t="n"/>
      <c r="D10" s="270" t="n"/>
      <c r="E10" s="264" t="n"/>
      <c r="F10" s="265" t="inlineStr">
        <is>
          <t>For Works Complete to:</t>
        </is>
      </c>
      <c r="G10" s="271" t="n"/>
      <c r="H10" s="272" t="n">
        <v>45565</v>
      </c>
      <c r="I10" s="259" t="n"/>
    </row>
    <row r="11" ht="25.15" customFormat="1" customHeight="1" s="260">
      <c r="B11" s="269" t="inlineStr">
        <is>
          <t xml:space="preserve"> NW10 7SJ, United Kingdom</t>
        </is>
      </c>
      <c r="C11" s="270" t="n"/>
      <c r="D11" s="270" t="n"/>
      <c r="E11" s="264" t="n"/>
      <c r="F11" s="265" t="inlineStr">
        <is>
          <t>Application Date:</t>
        </is>
      </c>
      <c r="G11" s="271" t="n"/>
      <c r="H11" s="273" t="n"/>
      <c r="I11" s="259" t="n"/>
    </row>
    <row r="12" ht="25.15" customFormat="1" customHeight="1" s="260">
      <c r="B12" s="274" t="n"/>
      <c r="C12" s="275" t="n"/>
      <c r="D12" s="275" t="n"/>
      <c r="E12" s="264" t="n"/>
      <c r="F12" s="276" t="inlineStr">
        <is>
          <t>Payment Date:</t>
        </is>
      </c>
      <c r="G12" s="277" t="n"/>
      <c r="H12" s="278" t="n"/>
      <c r="I12" s="259" t="n"/>
      <c r="M12" s="279" t="n"/>
    </row>
    <row r="13" ht="19.9" customFormat="1" customHeight="1" s="260">
      <c r="B13" s="269" t="n"/>
      <c r="D13" s="280" t="n"/>
      <c r="E13" s="264" t="n"/>
      <c r="F13" s="269" t="n"/>
      <c r="G13" s="269" t="n"/>
      <c r="H13" s="259" t="n"/>
      <c r="I13" s="259" t="n"/>
      <c r="M13" s="279" t="n"/>
    </row>
    <row r="14" ht="40.15" customFormat="1" customHeight="1" s="260">
      <c r="B14" s="281" t="inlineStr">
        <is>
          <t>Ref</t>
        </is>
      </c>
      <c r="C14" s="282" t="inlineStr">
        <is>
          <t>Category</t>
        </is>
      </c>
      <c r="D14" s="282" t="inlineStr">
        <is>
          <t>Zone</t>
        </is>
      </c>
      <c r="E14" s="283" t="inlineStr">
        <is>
          <t>Account Total</t>
        </is>
      </c>
      <c r="F14" s="284" t="inlineStr">
        <is>
          <t>% Progress</t>
        </is>
      </c>
      <c r="G14" s="285" t="inlineStr">
        <is>
          <t>Interim Payment</t>
        </is>
      </c>
      <c r="H14" s="286" t="inlineStr">
        <is>
          <t>Comment</t>
        </is>
      </c>
    </row>
    <row r="15" ht="39.75" customFormat="1" customHeight="1" s="260">
      <c r="B15" s="287" t="n">
        <v>1</v>
      </c>
      <c r="C15" s="288" t="inlineStr">
        <is>
          <t>Admins</t>
        </is>
      </c>
      <c r="D15" s="289" t="n"/>
      <c r="E15" s="290" t="n">
        <v>1001.2</v>
      </c>
      <c r="F15" s="291" t="n"/>
      <c r="G15" s="290" t="n"/>
      <c r="H15" s="292" t="n"/>
      <c r="I15" s="293" t="n"/>
    </row>
    <row r="16" ht="39.75" customFormat="1" customHeight="1" s="260">
      <c r="B16" s="287" t="n">
        <v>2</v>
      </c>
      <c r="C16" s="294" t="inlineStr">
        <is>
          <t>Cold Rolled</t>
        </is>
      </c>
      <c r="D16" s="295" t="n"/>
      <c r="E16" s="290" t="n">
        <v>117009.54</v>
      </c>
      <c r="F16" s="291" t="n"/>
      <c r="G16" s="290" t="n"/>
      <c r="H16" s="292" t="n"/>
      <c r="I16" s="293" t="n"/>
    </row>
    <row r="17" ht="39.75" customFormat="1" customHeight="1" s="260">
      <c r="B17" s="287" t="n">
        <v>3</v>
      </c>
      <c r="C17" s="296" t="inlineStr">
        <is>
          <t>Steel</t>
        </is>
      </c>
      <c r="D17" s="297" t="n"/>
      <c r="E17" s="290" t="n">
        <v>1394608.8</v>
      </c>
      <c r="F17" s="291" t="n"/>
      <c r="G17" s="290" t="n"/>
      <c r="H17" s="292" t="n"/>
      <c r="I17" s="293" t="n"/>
    </row>
    <row r="18" ht="39.75" customFormat="1" customHeight="1" s="260">
      <c r="B18" s="287" t="n">
        <v>4</v>
      </c>
      <c r="C18" s="298" t="n"/>
      <c r="D18" s="295" t="n"/>
      <c r="E18" s="290" t="n"/>
      <c r="F18" s="291" t="n"/>
      <c r="G18" s="290" t="n"/>
      <c r="H18" s="292" t="n"/>
      <c r="I18" s="293" t="n"/>
    </row>
    <row r="19" ht="39.75" customFormat="1" customHeight="1" s="260">
      <c r="B19" s="287" t="n">
        <v>5</v>
      </c>
      <c r="C19" s="299" t="n"/>
      <c r="D19" s="300" t="n"/>
      <c r="E19" s="290" t="n"/>
      <c r="F19" s="291" t="n"/>
      <c r="G19" s="290" t="n"/>
      <c r="H19" s="292" t="n"/>
      <c r="I19" s="301" t="n"/>
    </row>
    <row r="20" ht="39.75" customFormat="1" customHeight="1" s="260">
      <c r="B20" s="287" t="n"/>
      <c r="C20" s="299" t="n"/>
      <c r="D20" s="300" t="n"/>
      <c r="E20" s="302" t="n"/>
      <c r="F20" s="291" t="n"/>
      <c r="G20" s="302" t="n"/>
      <c r="H20" s="292" t="n"/>
      <c r="I20" s="301" t="n"/>
    </row>
    <row r="21" ht="39.75" customFormat="1" customHeight="1" s="260">
      <c r="B21" s="287" t="n"/>
      <c r="C21" s="299" t="n"/>
      <c r="D21" s="300" t="n"/>
      <c r="E21" s="303" t="n"/>
      <c r="F21" s="291" t="n"/>
      <c r="G21" s="303" t="n"/>
      <c r="H21" s="301" t="n"/>
      <c r="I21" s="301" t="n"/>
    </row>
    <row r="22" ht="39.75" customFormat="1" customHeight="1" s="260">
      <c r="B22" s="287" t="n"/>
      <c r="C22" s="299" t="n"/>
      <c r="D22" s="300" t="n"/>
      <c r="E22" s="303" t="n"/>
      <c r="F22" s="291" t="n"/>
      <c r="G22" s="303" t="n"/>
      <c r="H22" s="301" t="n"/>
      <c r="I22" s="301" t="n"/>
    </row>
    <row r="23" ht="39.75" customFormat="1" customHeight="1" s="260">
      <c r="B23" s="287" t="n"/>
      <c r="C23" s="304" t="n"/>
      <c r="D23" s="304" t="n"/>
      <c r="E23" s="305" t="n"/>
      <c r="F23" s="291" t="n"/>
      <c r="G23" s="305" t="n"/>
      <c r="H23" s="306" t="n"/>
      <c r="I23" s="307" t="n"/>
    </row>
    <row r="24" ht="40.5" customFormat="1" customHeight="1" s="308">
      <c r="B24" s="309" t="n"/>
      <c r="C24" s="310" t="n"/>
      <c r="D24" s="311" t="inlineStr">
        <is>
          <t>Account Total</t>
        </is>
      </c>
      <c r="E24" s="312">
        <f>SUM(E12:E23)</f>
        <v/>
      </c>
      <c r="F24" s="313" t="inlineStr">
        <is>
          <t>Progress Total</t>
        </is>
      </c>
      <c r="G24" s="312">
        <f>SUM(G12:G23)</f>
        <v/>
      </c>
      <c r="H24" s="314" t="n"/>
      <c r="I24" s="253" t="n"/>
    </row>
    <row r="25" ht="15" customFormat="1" customHeight="1" s="260">
      <c r="B25" s="315" t="n"/>
      <c r="C25" s="315" t="n"/>
      <c r="D25" s="316" t="n"/>
      <c r="E25" s="317" t="n"/>
      <c r="F25" s="318" t="n"/>
      <c r="G25" s="319" t="n"/>
      <c r="H25" s="320" t="n"/>
      <c r="I25" s="321" t="n"/>
    </row>
    <row r="26" ht="30" customFormat="1" customHeight="1" s="308">
      <c r="B26" s="280" t="n"/>
      <c r="C26" s="280" t="n"/>
      <c r="D26" s="322" t="n"/>
      <c r="E26" s="323" t="n"/>
      <c r="F26" s="257" t="n"/>
      <c r="G26" s="257" t="n"/>
      <c r="H26" s="324" t="n"/>
      <c r="I26" s="325" t="n"/>
    </row>
    <row r="27" ht="30" customFormat="1" customHeight="1" s="308">
      <c r="B27" s="280" t="n"/>
      <c r="C27" s="280" t="n"/>
      <c r="D27" s="322" t="n"/>
      <c r="E27" s="323" t="n"/>
      <c r="F27" s="271" t="n"/>
      <c r="G27" s="271" t="n"/>
      <c r="H27" s="326" t="n"/>
      <c r="I27" s="327" t="n"/>
      <c r="R27" s="308" t="inlineStr">
        <is>
          <t xml:space="preserve"> </t>
        </is>
      </c>
    </row>
    <row r="28" ht="30" customFormat="1" customHeight="1" s="308">
      <c r="B28" s="280" t="n"/>
      <c r="C28" s="280" t="n"/>
      <c r="D28" s="280" t="n"/>
      <c r="E28" s="328" t="n"/>
      <c r="F28" s="271" t="n"/>
      <c r="G28" s="271" t="n"/>
      <c r="H28" s="329" t="n"/>
      <c r="I28" s="327" t="n"/>
    </row>
    <row r="29" ht="30" customFormat="1" customHeight="1" s="308">
      <c r="D29" s="280" t="n"/>
      <c r="E29" s="237" t="n"/>
      <c r="F29" s="330" t="n"/>
      <c r="G29" s="330" t="n"/>
      <c r="H29" s="329" t="n"/>
      <c r="I29" s="327" t="n"/>
    </row>
    <row r="30" ht="30" customFormat="1" customHeight="1" s="308">
      <c r="D30" s="280" t="n"/>
      <c r="E30" s="237" t="n"/>
      <c r="F30" s="331" t="n"/>
      <c r="G30" s="331" t="n"/>
      <c r="H30" s="332" t="n"/>
      <c r="I30" s="333" t="n"/>
    </row>
    <row r="31" ht="27" customFormat="1" customHeight="1" s="260">
      <c r="D31" s="334" t="n"/>
      <c r="E31" s="237" t="n"/>
    </row>
    <row r="32" ht="27" customFormat="1" customHeight="1" s="260">
      <c r="D32" s="280" t="n"/>
      <c r="E32" s="237" t="n"/>
    </row>
    <row r="33" ht="16.9" customFormat="1" customHeight="1" s="260">
      <c r="E33" s="237" t="n"/>
      <c r="F33" s="238" t="n"/>
      <c r="G33" s="239" t="n"/>
      <c r="H33" s="235" t="n"/>
      <c r="I33" s="235" t="n"/>
      <c r="Q33" s="260" t="inlineStr">
        <is>
          <t xml:space="preserve"> </t>
        </is>
      </c>
    </row>
    <row r="34" ht="13" customFormat="1" customHeight="1" s="260">
      <c r="C34" s="280" t="n"/>
      <c r="D34" s="280" t="n"/>
      <c r="E34" s="237" t="n"/>
      <c r="F34" s="238" t="n"/>
      <c r="G34" s="239" t="n"/>
      <c r="H34" s="235" t="n"/>
      <c r="I34" s="235" t="n"/>
    </row>
    <row r="35" ht="13" customHeight="1" s="251">
      <c r="B35" s="260" t="n"/>
      <c r="C35" s="280" t="n"/>
      <c r="D35" s="280" t="n"/>
      <c r="J35" s="235" t="inlineStr">
        <is>
          <t xml:space="preserve"> </t>
        </is>
      </c>
    </row>
  </sheetData>
  <mergeCells count="16">
    <mergeCell ref="H17:I17"/>
    <mergeCell ref="H25:I25"/>
    <mergeCell ref="H16:I16"/>
    <mergeCell ref="H29:I29"/>
    <mergeCell ref="B5:C5"/>
    <mergeCell ref="H24:I24"/>
    <mergeCell ref="H15:I15"/>
    <mergeCell ref="H18:I18"/>
    <mergeCell ref="H27:I27"/>
    <mergeCell ref="B2:H2"/>
    <mergeCell ref="H23:I23"/>
    <mergeCell ref="H28:I28"/>
    <mergeCell ref="B8:C8"/>
    <mergeCell ref="H14:I14"/>
    <mergeCell ref="H30:I30"/>
    <mergeCell ref="H26:I26"/>
  </mergeCells>
  <printOptions horizontalCentered="1" verticalCentered="0" headings="0" gridLines="0" gridLinesSet="1"/>
  <pageMargins left="0.25" right="0.25" top="0.75" bottom="0.75" header="0.511805555555555" footer="0.3"/>
  <pageSetup orientation="portrait" paperSize="1" scale="100" fitToHeight="1" fitToWidth="1" firstPageNumber="0" useFirstPageNumber="0" pageOrder="downThenOver" blackAndWhite="0" draft="0" horizontalDpi="300" verticalDpi="300" copies="1"/>
  <headerFooter differentOddEven="0" differentFirst="0">
    <oddHeader/>
    <oddFooter>&amp;L&amp;10 _x000D_#Classification: Official</oddFooter>
    <evenHeader/>
    <evenFooter/>
    <firstHeader/>
    <firstFooter/>
  </headerFooter>
  <rowBreaks count="1" manualBreakCount="1">
    <brk id="41" min="0" max="16383" man="1"/>
  </rowBreaks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filterMode="0">
    <tabColor rgb="FFBFBFBF"/>
    <outlinePr summaryBelow="1" summaryRight="1"/>
    <pageSetUpPr fitToPage="1"/>
  </sheetPr>
  <dimension ref="B2:Q15"/>
  <sheetViews>
    <sheetView showFormulas="0" showGridLines="0" showRowColHeaders="1" showZeros="1" rightToLeft="0" tabSelected="0" showOutlineSymbols="1" defaultGridColor="1" view="pageBreakPreview" topLeftCell="A1" colorId="64" zoomScale="90" zoomScaleNormal="100" zoomScalePageLayoutView="90" workbookViewId="0">
      <selection pane="topLeft" activeCell="B6" activeCellId="0" sqref="B6"/>
    </sheetView>
  </sheetViews>
  <sheetFormatPr baseColWidth="8" defaultColWidth="9.1796875" defaultRowHeight="14" zeroHeight="0" outlineLevelRow="0"/>
  <cols>
    <col width="3.46" customWidth="1" style="335" min="1" max="1"/>
    <col width="19.91" customWidth="1" style="336" min="2" max="2"/>
    <col width="16.83" customWidth="1" style="336" min="3" max="3"/>
    <col width="16.83" customWidth="1" style="335" min="4" max="5"/>
    <col width="16.83" customWidth="1" style="337" min="6" max="6"/>
    <col width="16.83" customWidth="1" style="338" min="7" max="7"/>
    <col width="16.83" customWidth="1" style="339" min="8" max="8"/>
    <col width="16.83" customWidth="1" style="338" min="9" max="9"/>
    <col width="24.18" customWidth="1" style="338" min="10" max="10"/>
    <col width="5.82" customWidth="1" style="335" min="11" max="11"/>
    <col width="9.18" customWidth="1" style="335" min="12" max="12"/>
    <col hidden="1" width="13.72" customWidth="1" style="335" min="13" max="13"/>
    <col width="9.18" customWidth="1" style="335" min="14" max="15"/>
    <col width="16.83" customWidth="1" style="335" min="16" max="16"/>
    <col width="9.18" customWidth="1" style="335" min="17" max="1024"/>
  </cols>
  <sheetData>
    <row r="1" ht="14.5" customHeight="1" s="251"/>
    <row r="2" ht="24.75" customHeight="1" s="251">
      <c r="B2" s="340" t="inlineStr">
        <is>
          <t>BOQ Summary</t>
        </is>
      </c>
      <c r="C2" s="341" t="n"/>
      <c r="D2" s="341" t="n"/>
      <c r="E2" s="341" t="n"/>
      <c r="F2" s="341" t="n"/>
      <c r="G2" s="341" t="n"/>
      <c r="H2" s="341" t="n"/>
      <c r="I2" s="341" t="n"/>
      <c r="J2" s="341" t="n"/>
    </row>
    <row r="4" ht="29.25" customHeight="1" s="251">
      <c r="B4" s="342" t="inlineStr">
        <is>
          <t>Item</t>
        </is>
      </c>
      <c r="C4" s="342" t="inlineStr">
        <is>
          <t>Zone</t>
        </is>
      </c>
      <c r="D4" s="342" t="inlineStr">
        <is>
          <t>QTY</t>
        </is>
      </c>
      <c r="E4" s="342" t="inlineStr">
        <is>
          <t>UNIT</t>
        </is>
      </c>
      <c r="F4" s="343" t="inlineStr">
        <is>
          <t>RATE</t>
        </is>
      </c>
      <c r="G4" s="344" t="inlineStr">
        <is>
          <t>TOTAL</t>
        </is>
      </c>
      <c r="H4" s="345" t="inlineStr">
        <is>
          <t>Progress %</t>
        </is>
      </c>
      <c r="I4" s="346" t="inlineStr">
        <is>
          <t>Progress £</t>
        </is>
      </c>
      <c r="J4" s="346" t="inlineStr">
        <is>
          <t>Notes</t>
        </is>
      </c>
    </row>
    <row r="5" ht="29.25" customHeight="1" s="251">
      <c r="B5" s="347" t="n"/>
      <c r="C5" s="348" t="n"/>
      <c r="D5" s="349" t="n"/>
      <c r="E5" s="350" t="n"/>
      <c r="F5" s="351" t="n"/>
      <c r="G5" s="352" t="n"/>
      <c r="H5" s="353" t="n">
        <v>1</v>
      </c>
      <c r="I5" s="354">
        <f>IF(H5="","",H5*G5)</f>
        <v/>
      </c>
      <c r="J5" s="354" t="n"/>
      <c r="O5" s="355" t="n"/>
      <c r="Q5" s="335" t="inlineStr">
        <is>
          <t>Galv</t>
        </is>
      </c>
    </row>
    <row r="6" ht="29.25" customHeight="1" s="251">
      <c r="B6" s="347" t="inlineStr">
        <is>
          <t>Admins</t>
        </is>
      </c>
      <c r="C6" s="348" t="inlineStr">
        <is>
          <t>unit4</t>
        </is>
      </c>
      <c r="D6" s="349" t="n">
        <v>0.212</v>
      </c>
      <c r="E6" s="350" t="n"/>
      <c r="F6" s="351" t="n">
        <v>5100</v>
      </c>
      <c r="G6" s="352" t="n">
        <v>1001.2</v>
      </c>
      <c r="H6" s="353" t="n">
        <v>1</v>
      </c>
      <c r="I6" s="354">
        <f>IF(H6="","",H6*G6)</f>
        <v/>
      </c>
      <c r="J6" s="354" t="n"/>
      <c r="O6" s="355" t="n"/>
    </row>
    <row r="7" ht="29.25" customHeight="1" s="251">
      <c r="B7" s="347" t="inlineStr">
        <is>
          <t>Cold Rolled</t>
        </is>
      </c>
      <c r="C7" s="348" t="inlineStr">
        <is>
          <t>Unit 2</t>
        </is>
      </c>
      <c r="D7" s="349" t="n">
        <v>71.57004000000001</v>
      </c>
      <c r="E7" s="350" t="n"/>
      <c r="F7" s="351" t="n">
        <v>9450</v>
      </c>
      <c r="G7" s="352" t="n">
        <v>112722.813</v>
      </c>
      <c r="H7" s="353" t="n"/>
      <c r="I7" s="354">
        <f>IF(H7="","",H7*G7)</f>
        <v/>
      </c>
      <c r="J7" s="354" t="n"/>
      <c r="O7" s="355" t="n"/>
    </row>
    <row r="8" ht="29.25" customHeight="1" s="251">
      <c r="B8" s="347" t="inlineStr">
        <is>
          <t>Cold Rolled</t>
        </is>
      </c>
      <c r="C8" s="348" t="inlineStr">
        <is>
          <t>Unit 3</t>
        </is>
      </c>
      <c r="D8" s="349" t="n">
        <v>1.27962</v>
      </c>
      <c r="E8" s="350" t="n"/>
      <c r="F8" s="351" t="n">
        <v>20100</v>
      </c>
      <c r="G8" s="352" t="n">
        <v>4286.727</v>
      </c>
      <c r="H8" s="353" t="n"/>
      <c r="I8" s="354" t="n"/>
      <c r="J8" s="354" t="n"/>
      <c r="O8" s="355" t="n"/>
    </row>
    <row r="9" ht="29.25" customHeight="1" s="251">
      <c r="B9" s="347" t="inlineStr">
        <is>
          <t>Steel</t>
        </is>
      </c>
      <c r="C9" s="348" t="inlineStr">
        <is>
          <t>Unit 2</t>
        </is>
      </c>
      <c r="D9" s="349" t="n">
        <v>260.94258</v>
      </c>
      <c r="E9" s="350" t="n"/>
      <c r="F9" s="351" t="n">
        <v>374371</v>
      </c>
      <c r="G9" s="352" t="n">
        <v>548450.591</v>
      </c>
      <c r="H9" s="353" t="n"/>
      <c r="I9" s="354" t="n"/>
      <c r="J9" s="354" t="n"/>
      <c r="O9" s="355" t="n"/>
    </row>
    <row r="10" ht="29.25" customHeight="1" s="251">
      <c r="B10" s="347" t="inlineStr">
        <is>
          <t>Steel</t>
        </is>
      </c>
      <c r="C10" s="348" t="inlineStr">
        <is>
          <t>Unit 3</t>
        </is>
      </c>
      <c r="D10" s="349" t="n">
        <v>439.78215</v>
      </c>
      <c r="E10" s="350" t="n"/>
      <c r="F10" s="351" t="n">
        <v>344850</v>
      </c>
      <c r="G10" s="352" t="n">
        <v>846158.20425</v>
      </c>
      <c r="H10" s="353" t="n"/>
      <c r="I10" s="354" t="n"/>
      <c r="J10" s="354" t="n"/>
      <c r="O10" s="355" t="n"/>
    </row>
    <row r="11" ht="27" customFormat="1" customHeight="1" s="356">
      <c r="B11" s="357" t="n"/>
      <c r="C11" s="357" t="n"/>
      <c r="D11" s="357" t="n"/>
      <c r="E11" s="357" t="n"/>
      <c r="F11" s="358" t="n"/>
      <c r="G11" s="359">
        <f>SUM(G5:G8)</f>
        <v/>
      </c>
      <c r="H11" s="360">
        <f>I11/G11</f>
        <v/>
      </c>
      <c r="I11" s="359">
        <f>SUM(I5:I8)</f>
        <v/>
      </c>
      <c r="J11" s="359" t="n"/>
    </row>
    <row r="12" ht="14" customHeight="1" s="251">
      <c r="G12" s="338" t="inlineStr">
        <is>
          <t xml:space="preserve"> </t>
        </is>
      </c>
    </row>
    <row r="15" ht="14" customHeight="1" s="251">
      <c r="D15" s="335" t="inlineStr">
        <is>
          <t xml:space="preserve"> </t>
        </is>
      </c>
    </row>
  </sheetData>
  <mergeCells count="1">
    <mergeCell ref="B2:J2"/>
  </mergeCells>
  <printOptions horizontalCentered="0" verticalCentered="0" headings="0" gridLines="0" gridLinesSet="1"/>
  <pageMargins left="0.7" right="0.7" top="0.75" bottom="0.75" header="0.511805555555555" footer="0.511805555555555"/>
  <pageSetup orientation="portrait" paperSize="9" scale="100" fitToHeight="1" fitToWidth="1" firstPageNumber="0" useFirstPageNumber="0" pageOrder="downThenOver" blackAndWhite="0" draft="0" horizontalDpi="300" verticalDpi="300" copies="1"/>
</worksheet>
</file>

<file path=xl/worksheets/sheet3.xml><?xml version="1.0" encoding="utf-8"?>
<worksheet xmlns="http://schemas.openxmlformats.org/spreadsheetml/2006/main">
  <sheetPr filterMode="0">
    <tabColor rgb="FFBFBFBF"/>
    <outlinePr summaryBelow="1" summaryRight="1"/>
    <pageSetUpPr fitToPage="1"/>
  </sheetPr>
  <dimension ref="A2:BE45"/>
  <sheetViews>
    <sheetView showFormulas="0" showGridLines="0" showRowColHeaders="1" showZeros="1" rightToLeft="0" tabSelected="1" showOutlineSymbols="1" defaultGridColor="1" view="pageBreakPreview" topLeftCell="A43" colorId="64" zoomScale="80" zoomScaleNormal="100" zoomScalePageLayoutView="80" workbookViewId="0">
      <selection pane="topLeft" activeCell="J45" activeCellId="0" sqref="J45"/>
    </sheetView>
  </sheetViews>
  <sheetFormatPr baseColWidth="8" defaultColWidth="8.82421875" defaultRowHeight="14.5" zeroHeight="0" outlineLevelRow="0"/>
  <cols>
    <col width="10.45" customWidth="1" style="361" min="1" max="1"/>
    <col width="23.18" customWidth="1" style="362" min="2" max="2"/>
    <col width="13.45" customWidth="1" style="363" min="3" max="3"/>
    <col width="11.45" customWidth="1" style="363" min="4" max="4"/>
    <col width="11.54" customWidth="1" style="363" min="5" max="5"/>
    <col width="11.54" customWidth="1" style="364" min="6" max="6"/>
    <col width="8.640000000000001" customWidth="1" style="363" min="7" max="7"/>
    <col width="9.449999999999999" customWidth="1" style="365" min="8" max="8"/>
    <col width="9.18" customWidth="1" style="366" min="9" max="9"/>
    <col width="11.72" customWidth="1" style="367" min="10" max="10"/>
    <col width="13.09" customWidth="1" style="367" min="11" max="11"/>
    <col width="24.82" customWidth="1" style="368" min="12" max="12"/>
    <col hidden="1" width="14.27" customWidth="1" style="368" min="13" max="13"/>
    <col hidden="1" width="11.27" customWidth="1" style="368" min="14" max="14"/>
    <col hidden="1" width="20.45" customWidth="1" style="369" min="15" max="15"/>
    <col hidden="1" width="9.140000000000001" customWidth="1" style="362" min="16" max="20"/>
    <col width="8.82" customWidth="1" style="362" min="21" max="1024"/>
  </cols>
  <sheetData>
    <row r="2" ht="26.5" customFormat="1" customHeight="1" s="370">
      <c r="A2" s="371" t="inlineStr">
        <is>
          <t xml:space="preserve">Ref </t>
        </is>
      </c>
      <c r="B2" s="372" t="inlineStr">
        <is>
          <t>Item</t>
        </is>
      </c>
      <c r="C2" s="372" t="inlineStr">
        <is>
          <t>Cat</t>
        </is>
      </c>
      <c r="D2" s="372" t="inlineStr">
        <is>
          <t>Type</t>
        </is>
      </c>
      <c r="E2" s="372" t="inlineStr">
        <is>
          <t>Zone</t>
        </is>
      </c>
      <c r="F2" s="373" t="inlineStr">
        <is>
          <t>ACW</t>
        </is>
      </c>
      <c r="G2" s="374" t="inlineStr">
        <is>
          <t>Pcs</t>
        </is>
      </c>
      <c r="H2" s="374" t="inlineStr">
        <is>
          <t>QTY</t>
        </is>
      </c>
      <c r="I2" s="375" t="inlineStr">
        <is>
          <t>Unit</t>
        </is>
      </c>
      <c r="J2" s="376" t="inlineStr">
        <is>
          <t xml:space="preserve">Rate </t>
        </is>
      </c>
      <c r="K2" s="376" t="inlineStr">
        <is>
          <t xml:space="preserve">Total </t>
        </is>
      </c>
      <c r="O2" s="377" t="n"/>
    </row>
    <row r="3" ht="10.5" customFormat="1" customHeight="1" s="378">
      <c r="A3" s="379" t="n"/>
      <c r="B3" s="380" t="n"/>
      <c r="C3" s="380" t="n"/>
      <c r="D3" s="380" t="n"/>
      <c r="E3" s="381" t="n"/>
      <c r="F3" s="382" t="n"/>
      <c r="G3" s="383" t="n"/>
      <c r="H3" s="383" t="n"/>
      <c r="I3" s="384" t="n"/>
      <c r="J3" s="385" t="n"/>
      <c r="K3" s="385" t="n"/>
      <c r="BE3" s="386" t="inlineStr">
        <is>
          <t>stanchions; member profile not exceeding 25kg/m</t>
        </is>
      </c>
    </row>
    <row r="4" ht="33" customFormat="1" customHeight="1" s="378">
      <c r="A4" s="379" t="n"/>
      <c r="B4" s="387" t="inlineStr">
        <is>
          <t>Steelwork Supply &amp; Install</t>
        </is>
      </c>
      <c r="C4" s="380" t="n"/>
      <c r="D4" s="380" t="n"/>
      <c r="E4" s="381" t="n"/>
      <c r="F4" s="382" t="n"/>
      <c r="G4" s="383" t="n"/>
      <c r="H4" s="383" t="n"/>
      <c r="I4" s="384" t="n"/>
      <c r="J4" s="385" t="n"/>
      <c r="K4" s="385" t="n"/>
      <c r="M4" s="388" t="inlineStr">
        <is>
          <t>Zone</t>
        </is>
      </c>
      <c r="N4" s="389" t="inlineStr">
        <is>
          <t>Sum of QTY</t>
        </is>
      </c>
      <c r="O4" s="368" t="n"/>
      <c r="BE4" s="386" t="inlineStr">
        <is>
          <t>beams; member profile 25 - 50kg/m</t>
        </is>
      </c>
    </row>
    <row r="5" ht="33" customFormat="1" customHeight="1" s="378">
      <c r="A5" s="379" t="n">
        <v>1</v>
      </c>
      <c r="B5" s="390" t="inlineStr">
        <is>
          <t>1</t>
        </is>
      </c>
      <c r="C5" s="390" t="inlineStr">
        <is>
          <t>Steel</t>
        </is>
      </c>
      <c r="D5" s="390" t="inlineStr">
        <is>
          <t>Beam</t>
        </is>
      </c>
      <c r="E5" s="391" t="inlineStr">
        <is>
          <t>Unit 2</t>
        </is>
      </c>
      <c r="F5" s="392" t="inlineStr">
        <is>
          <t>9.0000000000</t>
        </is>
      </c>
      <c r="G5" s="393" t="n">
        <v>2</v>
      </c>
      <c r="H5" s="394" t="inlineStr">
        <is>
          <t>4.5000000000</t>
        </is>
      </c>
      <c r="I5" s="395" t="inlineStr">
        <is>
          <t>tonne</t>
        </is>
      </c>
      <c r="J5" s="396" t="inlineStr">
        <is>
          <t>98.0</t>
        </is>
      </c>
      <c r="K5" s="396" t="inlineStr">
        <is>
          <t>90.8800000</t>
        </is>
      </c>
      <c r="M5" s="397" t="inlineStr">
        <is>
          <t>Total Result</t>
        </is>
      </c>
      <c r="N5" s="398" t="n"/>
      <c r="O5" s="368" t="n"/>
      <c r="BE5" s="386" t="inlineStr">
        <is>
          <t>beams; member profile 50 - 100kg/m</t>
        </is>
      </c>
    </row>
    <row r="6" ht="33" customFormat="1" customHeight="1" s="378">
      <c r="A6" s="379" t="n">
        <v>2</v>
      </c>
      <c r="B6" s="390" t="inlineStr">
        <is>
          <t>1</t>
        </is>
      </c>
      <c r="C6" s="390" t="inlineStr">
        <is>
          <t>Steel</t>
        </is>
      </c>
      <c r="D6" s="390" t="inlineStr">
        <is>
          <t>Beam</t>
        </is>
      </c>
      <c r="E6" s="391" t="inlineStr">
        <is>
          <t>Unit 2</t>
        </is>
      </c>
      <c r="F6" s="392" t="inlineStr">
        <is>
          <t>9.0000000000</t>
        </is>
      </c>
      <c r="G6" s="393" t="n">
        <v>2</v>
      </c>
      <c r="H6" s="394" t="inlineStr">
        <is>
          <t>4.5000000000</t>
        </is>
      </c>
      <c r="I6" s="395" t="inlineStr">
        <is>
          <t>tonne</t>
        </is>
      </c>
      <c r="J6" s="396" t="inlineStr">
        <is>
          <t>98.0</t>
        </is>
      </c>
      <c r="K6" s="396" t="inlineStr">
        <is>
          <t>90.8800000</t>
        </is>
      </c>
      <c r="M6" s="368" t="n"/>
      <c r="N6" s="368" t="n"/>
      <c r="O6" s="368" t="n"/>
      <c r="BE6" s="386" t="inlineStr">
        <is>
          <t>stanchions; member profile 25 - 50kg/m</t>
        </is>
      </c>
    </row>
    <row r="7" ht="33" customFormat="1" customHeight="1" s="378">
      <c r="A7" s="379" t="n">
        <v>3</v>
      </c>
      <c r="B7" s="390" t="n"/>
      <c r="C7" s="390" t="n"/>
      <c r="D7" s="390" t="n"/>
      <c r="E7" s="391" t="n"/>
      <c r="F7" s="392" t="n"/>
      <c r="G7" s="393" t="n"/>
      <c r="H7" s="394" t="n"/>
      <c r="I7" s="395" t="n"/>
      <c r="J7" s="396" t="n"/>
      <c r="K7" s="396" t="n"/>
      <c r="M7" s="368" t="n"/>
      <c r="N7" s="368" t="n"/>
      <c r="O7" s="368" t="n"/>
      <c r="BE7" s="386" t="n"/>
    </row>
    <row r="8" ht="33" customFormat="1" customHeight="1" s="378">
      <c r="A8" s="379" t="n">
        <v>4</v>
      </c>
      <c r="B8" s="390" t="n"/>
      <c r="C8" s="390" t="n"/>
      <c r="D8" s="390" t="n"/>
      <c r="E8" s="391" t="n"/>
      <c r="F8" s="392" t="n"/>
      <c r="G8" s="393" t="n"/>
      <c r="H8" s="394" t="n"/>
      <c r="I8" s="395" t="n"/>
      <c r="J8" s="396" t="n"/>
      <c r="K8" s="396" t="n"/>
      <c r="M8" s="368" t="n"/>
      <c r="N8" s="368" t="n"/>
      <c r="O8" s="368" t="n"/>
      <c r="BE8" s="386" t="n"/>
    </row>
    <row r="9" ht="33" customFormat="1" customHeight="1" s="378">
      <c r="A9" s="379" t="n">
        <v>5</v>
      </c>
      <c r="B9" s="390" t="n"/>
      <c r="C9" s="390" t="n"/>
      <c r="D9" s="390" t="n"/>
      <c r="E9" s="391" t="n"/>
      <c r="F9" s="392" t="n"/>
      <c r="G9" s="393" t="n"/>
      <c r="H9" s="394" t="n"/>
      <c r="I9" s="395" t="n"/>
      <c r="J9" s="396" t="n"/>
      <c r="K9" s="396" t="n"/>
      <c r="M9" s="368" t="n"/>
      <c r="N9" s="368" t="n"/>
      <c r="O9" s="368" t="n"/>
      <c r="BE9" s="386" t="n"/>
    </row>
    <row r="10" ht="33" customFormat="1" customHeight="1" s="378">
      <c r="A10" s="379" t="n">
        <v>6</v>
      </c>
      <c r="B10" s="390" t="n"/>
      <c r="C10" s="390" t="n"/>
      <c r="D10" s="390" t="n"/>
      <c r="E10" s="391" t="n"/>
      <c r="F10" s="392" t="n"/>
      <c r="G10" s="393" t="n"/>
      <c r="H10" s="394" t="n"/>
      <c r="I10" s="395" t="n"/>
      <c r="J10" s="396" t="n"/>
      <c r="K10" s="396" t="n"/>
      <c r="M10" s="368" t="n"/>
      <c r="N10" s="368" t="n"/>
      <c r="O10" s="368" t="n"/>
      <c r="BE10" s="386" t="n"/>
    </row>
    <row r="11" ht="33" customFormat="1" customHeight="1" s="378">
      <c r="A11" s="379" t="n">
        <v>7</v>
      </c>
      <c r="B11" s="390" t="n"/>
      <c r="C11" s="390" t="n"/>
      <c r="D11" s="390" t="n"/>
      <c r="E11" s="391" t="n"/>
      <c r="F11" s="392" t="n"/>
      <c r="G11" s="393" t="n"/>
      <c r="H11" s="394" t="n"/>
      <c r="I11" s="395" t="n"/>
      <c r="J11" s="396" t="n"/>
      <c r="K11" s="396" t="n"/>
      <c r="M11" s="368" t="n"/>
      <c r="N11" s="368" t="n"/>
      <c r="O11" s="368" t="n"/>
      <c r="BE11" s="386" t="n"/>
    </row>
    <row r="12" ht="33" customFormat="1" customHeight="1" s="378">
      <c r="A12" s="379" t="n">
        <v>8</v>
      </c>
      <c r="B12" s="390" t="n"/>
      <c r="C12" s="390" t="n"/>
      <c r="D12" s="390" t="n"/>
      <c r="E12" s="391" t="n"/>
      <c r="F12" s="392" t="n"/>
      <c r="G12" s="393" t="n"/>
      <c r="H12" s="394" t="n"/>
      <c r="I12" s="395" t="n"/>
      <c r="J12" s="396" t="n"/>
      <c r="K12" s="396" t="n"/>
      <c r="BE12" s="386" t="n"/>
    </row>
    <row r="13" ht="33" customFormat="1" customHeight="1" s="378">
      <c r="A13" s="379" t="n">
        <v>9</v>
      </c>
      <c r="B13" s="390" t="n"/>
      <c r="C13" s="390" t="n"/>
      <c r="D13" s="390" t="n"/>
      <c r="E13" s="391" t="n"/>
      <c r="F13" s="392" t="n"/>
      <c r="G13" s="393" t="n"/>
      <c r="H13" s="394" t="n"/>
      <c r="I13" s="395" t="n"/>
      <c r="J13" s="396" t="n"/>
      <c r="K13" s="396" t="n"/>
      <c r="BE13" s="386" t="n"/>
    </row>
    <row r="14" ht="33" customFormat="1" customHeight="1" s="378">
      <c r="A14" s="379" t="n">
        <v>10</v>
      </c>
      <c r="B14" s="390" t="n"/>
      <c r="C14" s="390" t="n"/>
      <c r="D14" s="390" t="n"/>
      <c r="E14" s="391" t="n"/>
      <c r="F14" s="392" t="n"/>
      <c r="G14" s="393" t="n"/>
      <c r="H14" s="394" t="n"/>
      <c r="I14" s="395" t="n"/>
      <c r="J14" s="396" t="n"/>
      <c r="K14" s="396" t="n"/>
      <c r="BE14" s="386" t="n"/>
    </row>
    <row r="15" ht="33" customFormat="1" customHeight="1" s="378">
      <c r="A15" s="379" t="n">
        <v>11</v>
      </c>
      <c r="B15" s="390" t="n"/>
      <c r="C15" s="390" t="n"/>
      <c r="D15" s="390" t="n"/>
      <c r="E15" s="391" t="n"/>
      <c r="F15" s="392" t="n"/>
      <c r="G15" s="393" t="n"/>
      <c r="H15" s="394" t="n"/>
      <c r="I15" s="395" t="n"/>
      <c r="J15" s="396" t="n"/>
      <c r="K15" s="396" t="n"/>
      <c r="BE15" s="386" t="n"/>
    </row>
    <row r="16" ht="33" customFormat="1" customHeight="1" s="378">
      <c r="A16" s="379" t="n">
        <v>12</v>
      </c>
      <c r="B16" s="390" t="n"/>
      <c r="C16" s="390" t="n"/>
      <c r="D16" s="390" t="n"/>
      <c r="E16" s="391" t="n"/>
      <c r="F16" s="392" t="n"/>
      <c r="G16" s="393" t="n"/>
      <c r="H16" s="394" t="n"/>
      <c r="I16" s="395" t="n"/>
      <c r="J16" s="396" t="n"/>
      <c r="K16" s="396" t="n"/>
      <c r="BE16" s="386" t="n"/>
    </row>
    <row r="17" ht="33" customFormat="1" customHeight="1" s="378">
      <c r="A17" s="379" t="n">
        <v>13</v>
      </c>
      <c r="B17" s="390" t="n"/>
      <c r="C17" s="390" t="n"/>
      <c r="D17" s="390" t="n"/>
      <c r="E17" s="391" t="n"/>
      <c r="F17" s="392" t="n"/>
      <c r="G17" s="393" t="n"/>
      <c r="H17" s="394" t="n"/>
      <c r="I17" s="395" t="n"/>
      <c r="J17" s="396" t="n"/>
      <c r="K17" s="396" t="n"/>
      <c r="BE17" s="386" t="n"/>
    </row>
    <row r="18" ht="33" customFormat="1" customHeight="1" s="378">
      <c r="A18" s="379" t="n">
        <v>14</v>
      </c>
      <c r="B18" s="390" t="n"/>
      <c r="C18" s="390" t="n"/>
      <c r="D18" s="390" t="n"/>
      <c r="E18" s="391" t="n"/>
      <c r="F18" s="392" t="n"/>
      <c r="G18" s="393" t="n"/>
      <c r="H18" s="394" t="n"/>
      <c r="I18" s="395" t="n"/>
      <c r="J18" s="396" t="n"/>
      <c r="K18" s="396" t="n"/>
      <c r="BE18" s="386" t="n"/>
    </row>
    <row r="19" ht="33" customFormat="1" customHeight="1" s="378">
      <c r="A19" s="379" t="n">
        <v>15</v>
      </c>
      <c r="B19" s="390" t="n"/>
      <c r="C19" s="390" t="n"/>
      <c r="D19" s="390" t="n"/>
      <c r="E19" s="391" t="n"/>
      <c r="F19" s="392" t="n"/>
      <c r="G19" s="393" t="n"/>
      <c r="H19" s="394" t="n"/>
      <c r="I19" s="395" t="n"/>
      <c r="J19" s="396" t="n"/>
      <c r="K19" s="396" t="n"/>
      <c r="BE19" s="386" t="n"/>
    </row>
    <row r="20" ht="33" customFormat="1" customHeight="1" s="378">
      <c r="A20" s="379" t="n">
        <v>16</v>
      </c>
      <c r="B20" s="390" t="n"/>
      <c r="C20" s="390" t="n"/>
      <c r="D20" s="390" t="n"/>
      <c r="E20" s="391" t="n"/>
      <c r="F20" s="392" t="n"/>
      <c r="G20" s="393" t="n"/>
      <c r="H20" s="394" t="n"/>
      <c r="I20" s="395" t="n"/>
      <c r="J20" s="396" t="n"/>
      <c r="K20" s="396" t="n"/>
      <c r="BE20" s="386" t="n"/>
    </row>
    <row r="21" ht="33" customFormat="1" customHeight="1" s="378">
      <c r="A21" s="379" t="n">
        <v>17</v>
      </c>
      <c r="B21" s="390" t="n"/>
      <c r="C21" s="390" t="n"/>
      <c r="D21" s="390" t="n"/>
      <c r="E21" s="391" t="n"/>
      <c r="F21" s="392" t="n"/>
      <c r="G21" s="393" t="n"/>
      <c r="H21" s="394" t="n"/>
      <c r="I21" s="395" t="n"/>
      <c r="J21" s="396" t="n"/>
      <c r="K21" s="396" t="n"/>
      <c r="BE21" s="386" t="n"/>
    </row>
    <row r="22" ht="33" customFormat="1" customHeight="1" s="378">
      <c r="A22" s="379" t="n">
        <v>18</v>
      </c>
      <c r="B22" s="390" t="n"/>
      <c r="C22" s="390" t="n"/>
      <c r="D22" s="390" t="n"/>
      <c r="E22" s="391" t="n"/>
      <c r="F22" s="392" t="n"/>
      <c r="G22" s="393" t="n"/>
      <c r="H22" s="394" t="n"/>
      <c r="I22" s="395" t="n"/>
      <c r="J22" s="396" t="n"/>
      <c r="K22" s="396" t="n"/>
      <c r="M22" s="399" t="n"/>
      <c r="N22" s="400" t="n"/>
      <c r="O22" s="369" t="n"/>
      <c r="BE22" s="386" t="n"/>
    </row>
    <row r="23" ht="33" customFormat="1" customHeight="1" s="378">
      <c r="A23" s="379" t="n">
        <v>19</v>
      </c>
      <c r="B23" s="390" t="n"/>
      <c r="C23" s="390" t="n"/>
      <c r="D23" s="390" t="n"/>
      <c r="E23" s="391" t="n"/>
      <c r="F23" s="392" t="n"/>
      <c r="G23" s="393" t="n"/>
      <c r="H23" s="394" t="n"/>
      <c r="I23" s="395" t="n"/>
      <c r="J23" s="396" t="n"/>
      <c r="K23" s="396" t="n"/>
      <c r="O23" s="369" t="n"/>
      <c r="BE23" s="386" t="n"/>
    </row>
    <row r="24" ht="33" customFormat="1" customHeight="1" s="378">
      <c r="A24" s="379" t="n">
        <v>20</v>
      </c>
      <c r="B24" s="390" t="n"/>
      <c r="C24" s="390" t="n"/>
      <c r="D24" s="390" t="n"/>
      <c r="E24" s="391" t="n"/>
      <c r="F24" s="392" t="n"/>
      <c r="G24" s="393" t="n"/>
      <c r="H24" s="394" t="n"/>
      <c r="I24" s="395" t="n"/>
      <c r="J24" s="396" t="n"/>
      <c r="K24" s="396" t="n"/>
      <c r="O24" s="369" t="n"/>
      <c r="BE24" s="386" t="n"/>
    </row>
    <row r="25" ht="33" customFormat="1" customHeight="1" s="378">
      <c r="A25" s="379" t="n">
        <v>21</v>
      </c>
      <c r="B25" s="390" t="n"/>
      <c r="C25" s="390" t="n"/>
      <c r="D25" s="390" t="n"/>
      <c r="E25" s="391" t="n"/>
      <c r="F25" s="392" t="n"/>
      <c r="G25" s="393" t="n"/>
      <c r="H25" s="394" t="n"/>
      <c r="I25" s="395" t="n"/>
      <c r="J25" s="396" t="n"/>
      <c r="K25" s="396" t="n"/>
      <c r="O25" s="369" t="n"/>
      <c r="BE25" s="386" t="n"/>
    </row>
    <row r="26" ht="33" customFormat="1" customHeight="1" s="378">
      <c r="A26" s="379" t="n">
        <v>22</v>
      </c>
      <c r="B26" s="390" t="n"/>
      <c r="C26" s="390" t="n"/>
      <c r="D26" s="390" t="n"/>
      <c r="E26" s="391" t="n"/>
      <c r="F26" s="392" t="n"/>
      <c r="G26" s="393" t="n"/>
      <c r="H26" s="394" t="n"/>
      <c r="I26" s="395" t="n"/>
      <c r="J26" s="396" t="n"/>
      <c r="K26" s="396" t="n"/>
      <c r="O26" s="369" t="n"/>
      <c r="BE26" s="386" t="n"/>
    </row>
    <row r="27" ht="33" customFormat="1" customHeight="1" s="378">
      <c r="A27" s="379" t="n">
        <v>23</v>
      </c>
      <c r="B27" s="390" t="n"/>
      <c r="C27" s="390" t="n"/>
      <c r="D27" s="390" t="n"/>
      <c r="E27" s="391" t="n"/>
      <c r="F27" s="392" t="n"/>
      <c r="G27" s="393" t="n"/>
      <c r="H27" s="394" t="n"/>
      <c r="I27" s="395" t="n"/>
      <c r="J27" s="396" t="n"/>
      <c r="K27" s="396" t="n"/>
      <c r="O27" s="369" t="n"/>
      <c r="BE27" s="386" t="n"/>
    </row>
    <row r="28" ht="33" customFormat="1" customHeight="1" s="378">
      <c r="A28" s="379" t="n">
        <v>24</v>
      </c>
      <c r="B28" s="390" t="n"/>
      <c r="C28" s="390" t="n"/>
      <c r="D28" s="390" t="n"/>
      <c r="E28" s="391" t="n"/>
      <c r="F28" s="392" t="n"/>
      <c r="G28" s="393" t="n"/>
      <c r="H28" s="394" t="n"/>
      <c r="I28" s="395" t="n"/>
      <c r="J28" s="396" t="n"/>
      <c r="K28" s="396" t="n"/>
      <c r="O28" s="369" t="n"/>
      <c r="BE28" s="386" t="n"/>
    </row>
    <row r="29" ht="33" customFormat="1" customHeight="1" s="378">
      <c r="A29" s="379" t="n">
        <v>25</v>
      </c>
      <c r="B29" s="390" t="n"/>
      <c r="C29" s="390" t="n"/>
      <c r="D29" s="390" t="n"/>
      <c r="E29" s="391" t="n"/>
      <c r="F29" s="392" t="n"/>
      <c r="G29" s="393" t="n"/>
      <c r="H29" s="394" t="n"/>
      <c r="I29" s="395" t="n"/>
      <c r="J29" s="396" t="n"/>
      <c r="K29" s="396" t="n"/>
      <c r="O29" s="369" t="n"/>
      <c r="BE29" s="386" t="n"/>
    </row>
    <row r="30" ht="33" customFormat="1" customHeight="1" s="378">
      <c r="A30" s="379" t="n">
        <v>26</v>
      </c>
      <c r="B30" s="390" t="n"/>
      <c r="C30" s="390" t="n"/>
      <c r="D30" s="390" t="n"/>
      <c r="E30" s="391" t="n"/>
      <c r="F30" s="392" t="n"/>
      <c r="G30" s="393" t="n"/>
      <c r="H30" s="394" t="n"/>
      <c r="I30" s="395" t="n"/>
      <c r="J30" s="396" t="n"/>
      <c r="K30" s="396" t="n"/>
      <c r="O30" s="369" t="n"/>
      <c r="BE30" s="386" t="n"/>
    </row>
    <row r="31" ht="33" customFormat="1" customHeight="1" s="378">
      <c r="A31" s="379" t="n">
        <v>27</v>
      </c>
      <c r="B31" s="390" t="n"/>
      <c r="C31" s="390" t="n"/>
      <c r="D31" s="390" t="n"/>
      <c r="E31" s="391" t="n"/>
      <c r="F31" s="392" t="n"/>
      <c r="G31" s="393" t="n"/>
      <c r="H31" s="394" t="n"/>
      <c r="I31" s="395" t="n"/>
      <c r="J31" s="396" t="n"/>
      <c r="K31" s="396" t="n"/>
      <c r="O31" s="369" t="n"/>
      <c r="BE31" s="386" t="n"/>
    </row>
    <row r="32" ht="33" customFormat="1" customHeight="1" s="378">
      <c r="A32" s="379" t="n">
        <v>28</v>
      </c>
      <c r="B32" s="390" t="n"/>
      <c r="C32" s="390" t="n"/>
      <c r="D32" s="390" t="n"/>
      <c r="E32" s="391" t="n"/>
      <c r="F32" s="392" t="n"/>
      <c r="G32" s="393" t="n"/>
      <c r="H32" s="394" t="n"/>
      <c r="I32" s="395" t="n"/>
      <c r="J32" s="396" t="n"/>
      <c r="K32" s="396" t="n"/>
      <c r="O32" s="369" t="n"/>
      <c r="BE32" s="386" t="n"/>
    </row>
    <row r="33" ht="33" customFormat="1" customHeight="1" s="378">
      <c r="A33" s="379" t="n">
        <v>29</v>
      </c>
      <c r="B33" s="390" t="n"/>
      <c r="C33" s="390" t="n"/>
      <c r="D33" s="390" t="n"/>
      <c r="E33" s="391" t="n"/>
      <c r="F33" s="392" t="n"/>
      <c r="G33" s="393" t="n"/>
      <c r="H33" s="394" t="n"/>
      <c r="I33" s="395" t="n"/>
      <c r="J33" s="396" t="n"/>
      <c r="K33" s="396" t="n"/>
      <c r="O33" s="369" t="n"/>
      <c r="BE33" s="386" t="n"/>
    </row>
    <row r="34" ht="33" customFormat="1" customHeight="1" s="378">
      <c r="A34" s="379" t="n">
        <v>30</v>
      </c>
      <c r="B34" s="390" t="n"/>
      <c r="C34" s="390" t="n"/>
      <c r="D34" s="390" t="n"/>
      <c r="E34" s="391" t="n"/>
      <c r="F34" s="392" t="n"/>
      <c r="G34" s="393" t="n"/>
      <c r="H34" s="394" t="n"/>
      <c r="I34" s="395" t="n"/>
      <c r="J34" s="396" t="n"/>
      <c r="K34" s="396" t="n"/>
      <c r="O34" s="369" t="n"/>
      <c r="BE34" s="386" t="n"/>
    </row>
    <row r="35" ht="33" customFormat="1" customHeight="1" s="378">
      <c r="A35" s="379" t="n">
        <v>31</v>
      </c>
      <c r="B35" s="390" t="n"/>
      <c r="C35" s="390" t="n"/>
      <c r="D35" s="390" t="n"/>
      <c r="E35" s="391" t="n"/>
      <c r="F35" s="392" t="n"/>
      <c r="G35" s="393" t="n"/>
      <c r="H35" s="394" t="n"/>
      <c r="I35" s="395" t="n"/>
      <c r="J35" s="396" t="n"/>
      <c r="K35" s="396" t="n"/>
      <c r="O35" s="369" t="n"/>
      <c r="BE35" s="386" t="n"/>
    </row>
    <row r="36" ht="33" customFormat="1" customHeight="1" s="378">
      <c r="A36" s="379" t="n">
        <v>32</v>
      </c>
      <c r="B36" s="390" t="n"/>
      <c r="C36" s="390" t="n"/>
      <c r="D36" s="390" t="n"/>
      <c r="E36" s="391" t="n"/>
      <c r="F36" s="392" t="n"/>
      <c r="G36" s="393" t="n"/>
      <c r="H36" s="394" t="n"/>
      <c r="I36" s="395" t="n"/>
      <c r="J36" s="396" t="n"/>
      <c r="K36" s="396" t="n"/>
      <c r="O36" s="369" t="n"/>
      <c r="BE36" s="386" t="n"/>
    </row>
    <row r="37" ht="33" customFormat="1" customHeight="1" s="378">
      <c r="A37" s="379" t="n">
        <v>33</v>
      </c>
      <c r="B37" s="390" t="n"/>
      <c r="C37" s="390" t="n"/>
      <c r="D37" s="390" t="n"/>
      <c r="E37" s="391" t="n"/>
      <c r="F37" s="392" t="n"/>
      <c r="G37" s="393" t="n"/>
      <c r="H37" s="394" t="n"/>
      <c r="I37" s="395" t="n"/>
      <c r="J37" s="396" t="n"/>
      <c r="K37" s="396" t="n"/>
      <c r="O37" s="369" t="n"/>
      <c r="BE37" s="386" t="n"/>
    </row>
    <row r="38" ht="33" customFormat="1" customHeight="1" s="378">
      <c r="A38" s="379" t="n">
        <v>34</v>
      </c>
      <c r="B38" s="390" t="n"/>
      <c r="C38" s="390" t="n"/>
      <c r="D38" s="390" t="n"/>
      <c r="E38" s="391" t="n"/>
      <c r="F38" s="392" t="n"/>
      <c r="G38" s="393" t="n"/>
      <c r="H38" s="394" t="n"/>
      <c r="I38" s="395" t="n"/>
      <c r="J38" s="396" t="n"/>
      <c r="K38" s="396" t="n"/>
      <c r="O38" s="369" t="n"/>
      <c r="BE38" s="386" t="n"/>
    </row>
    <row r="39" ht="33" customFormat="1" customHeight="1" s="378">
      <c r="A39" s="379" t="n"/>
      <c r="B39" s="390" t="n"/>
      <c r="C39" s="390" t="n"/>
      <c r="D39" s="390" t="n"/>
      <c r="E39" s="391" t="n"/>
      <c r="F39" s="392" t="n"/>
      <c r="G39" s="393" t="n"/>
      <c r="H39" s="394" t="n"/>
      <c r="I39" s="395" t="n"/>
      <c r="J39" s="396" t="n"/>
      <c r="K39" s="396" t="n"/>
      <c r="O39" s="369" t="n"/>
      <c r="BE39" s="386" t="n"/>
    </row>
    <row r="40" ht="33" customFormat="1" customHeight="1" s="378">
      <c r="A40" s="379" t="n">
        <v>35</v>
      </c>
      <c r="B40" s="390" t="n"/>
      <c r="C40" s="390" t="n"/>
      <c r="D40" s="390" t="n"/>
      <c r="E40" s="391" t="n"/>
      <c r="F40" s="392" t="n"/>
      <c r="G40" s="393" t="n"/>
      <c r="H40" s="394" t="n"/>
      <c r="I40" s="395" t="n"/>
      <c r="J40" s="396" t="n"/>
      <c r="K40" s="396" t="n"/>
      <c r="O40" s="369" t="n"/>
      <c r="BE40" s="386" t="n"/>
    </row>
    <row r="41" ht="33" customFormat="1" customHeight="1" s="378">
      <c r="A41" s="379" t="n">
        <v>36</v>
      </c>
      <c r="B41" s="390" t="n"/>
      <c r="C41" s="390" t="n"/>
      <c r="D41" s="390" t="n"/>
      <c r="E41" s="391" t="n"/>
      <c r="F41" s="392" t="n"/>
      <c r="G41" s="393" t="n"/>
      <c r="H41" s="394" t="n"/>
      <c r="I41" s="395" t="n"/>
      <c r="J41" s="396" t="n"/>
      <c r="K41" s="396" t="n"/>
      <c r="O41" s="369" t="n"/>
      <c r="BE41" s="386" t="n"/>
    </row>
    <row r="42" ht="33" customFormat="1" customHeight="1" s="378">
      <c r="A42" s="379" t="n">
        <v>37</v>
      </c>
      <c r="B42" s="390" t="n"/>
      <c r="C42" s="390" t="n"/>
      <c r="D42" s="390" t="n"/>
      <c r="E42" s="391" t="n"/>
      <c r="F42" s="392" t="n"/>
      <c r="G42" s="393" t="n"/>
      <c r="H42" s="394" t="n"/>
      <c r="I42" s="395" t="n"/>
      <c r="J42" s="396" t="n"/>
      <c r="K42" s="396" t="n"/>
      <c r="O42" s="369" t="n"/>
      <c r="BE42" s="386" t="n"/>
    </row>
    <row r="43" ht="33" customFormat="1" customHeight="1" s="378">
      <c r="A43" s="379" t="n">
        <v>38</v>
      </c>
      <c r="B43" s="390" t="n"/>
      <c r="C43" s="390" t="n"/>
      <c r="D43" s="390" t="n"/>
      <c r="E43" s="391" t="n"/>
      <c r="F43" s="392" t="n"/>
      <c r="G43" s="393" t="n"/>
      <c r="H43" s="394" t="n"/>
      <c r="I43" s="395" t="n"/>
      <c r="J43" s="396" t="n"/>
      <c r="K43" s="396" t="n"/>
      <c r="O43" s="369" t="n"/>
      <c r="BE43" s="386" t="n"/>
    </row>
    <row r="44" ht="33" customFormat="1" customHeight="1" s="378">
      <c r="A44" s="379" t="n">
        <v>39</v>
      </c>
      <c r="B44" s="390" t="n"/>
      <c r="C44" s="390" t="n"/>
      <c r="D44" s="390" t="n"/>
      <c r="E44" s="391" t="n"/>
      <c r="F44" s="392" t="n"/>
      <c r="G44" s="393" t="n"/>
      <c r="H44" s="394" t="n"/>
      <c r="I44" s="395" t="n"/>
      <c r="J44" s="396" t="n"/>
      <c r="K44" s="396" t="n"/>
      <c r="O44" s="369" t="n"/>
      <c r="BE44" s="386" t="n"/>
    </row>
    <row r="45" ht="33" customFormat="1" customHeight="1" s="401">
      <c r="A45" s="402" t="n"/>
      <c r="B45" s="403" t="n"/>
      <c r="C45" s="403" t="n"/>
      <c r="D45" s="403" t="n"/>
      <c r="E45" s="404" t="n"/>
      <c r="F45" s="405" t="n"/>
      <c r="G45" s="406" t="n"/>
      <c r="H45" s="407" t="n"/>
      <c r="I45" s="408" t="n"/>
      <c r="J45" s="409" t="inlineStr">
        <is>
          <t>Total:</t>
        </is>
      </c>
      <c r="K45" s="410" t="n">
        <v>181.76</v>
      </c>
      <c r="O45" s="411" t="n"/>
      <c r="BE45" s="412" t="n"/>
    </row>
  </sheetData>
  <printOptions horizontalCentered="0" verticalCentered="0" headings="0" gridLines="0" gridLinesSet="1"/>
  <pageMargins left="0.7" right="0.7" top="0.75" bottom="0.75" header="0.511805555555555" footer="0.511805555555555"/>
  <pageSetup orientation="portrait" paperSize="9" scale="100" fitToHeight="1" fitToWidth="1" firstPageNumber="0" useFirstPageNumber="0" pageOrder="downThenOver" blackAndWhite="0" draft="0" horizontalDpi="300" verticalDpi="300" copies="1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filterMode="0">
    <tabColor rgb="FFBFBFBF"/>
    <outlinePr summaryBelow="1" summaryRight="1"/>
    <pageSetUpPr fitToPage="1"/>
  </sheetPr>
  <dimension ref="B2:N89"/>
  <sheetViews>
    <sheetView showFormulas="0" showGridLines="0" showRowColHeaders="1" showZeros="1" rightToLeft="0" tabSelected="0" showOutlineSymbols="1" defaultGridColor="1" view="pageBreakPreview" topLeftCell="A1" colorId="64" zoomScale="30" zoomScaleNormal="40" zoomScalePageLayoutView="30" workbookViewId="0">
      <selection pane="topLeft" activeCell="F16" activeCellId="0" sqref="F16"/>
    </sheetView>
  </sheetViews>
  <sheetFormatPr baseColWidth="8" defaultColWidth="8.82421875" defaultRowHeight="11.5" zeroHeight="0" outlineLevelRow="0"/>
  <cols>
    <col width="6" customWidth="1" style="413" min="1" max="1"/>
    <col width="21.55" customWidth="1" style="414" min="2" max="2"/>
    <col width="21.55" customWidth="1" style="415" min="3" max="3"/>
    <col width="184.81" customWidth="1" style="413" min="4" max="4"/>
    <col width="36.54" customWidth="1" style="416" min="5" max="5"/>
    <col width="32" customWidth="1" style="417" min="6" max="8"/>
    <col width="28.81" customWidth="1" style="417" min="9" max="9"/>
    <col width="39" customWidth="1" style="416" min="10" max="10"/>
    <col width="69.45999999999999" customWidth="1" style="418" min="11" max="11"/>
    <col width="38.82" customWidth="1" style="419" min="12" max="12"/>
    <col width="33.73" customWidth="1" style="420" min="13" max="13"/>
    <col width="42.27" customWidth="1" style="420" min="14" max="14"/>
    <col width="36.18" customWidth="1" style="413" min="15" max="15"/>
    <col width="8.82" customWidth="1" style="413" min="16" max="33"/>
    <col width="19.83" customWidth="1" style="413" min="34" max="34"/>
    <col width="9.449999999999999" customWidth="1" style="413" min="35" max="35"/>
    <col width="8.82" customWidth="1" style="413" min="36" max="1024"/>
  </cols>
  <sheetData>
    <row r="1" ht="15.65" customHeight="1" s="251"/>
    <row r="2" ht="48.65" customHeight="1" s="251">
      <c r="I2" s="421" t="inlineStr">
        <is>
          <t>Project:</t>
        </is>
      </c>
      <c r="J2" s="422" t="n"/>
      <c r="K2" s="421">
        <f>'AFP Summary'!H8</f>
        <v/>
      </c>
      <c r="L2" s="423" t="n"/>
    </row>
    <row r="3" ht="48.65" customHeight="1" s="251">
      <c r="I3" s="424" t="inlineStr">
        <is>
          <t>Client</t>
        </is>
      </c>
      <c r="J3" s="425" t="n"/>
      <c r="K3" s="426">
        <f>'AFP Summary'!B9</f>
        <v/>
      </c>
      <c r="L3" s="427" t="n"/>
    </row>
    <row r="4" ht="48.65" customHeight="1" s="251">
      <c r="E4" s="416" t="inlineStr">
        <is>
          <t xml:space="preserve"> </t>
        </is>
      </c>
      <c r="I4" s="424" t="inlineStr">
        <is>
          <t>Variation Account Total</t>
        </is>
      </c>
      <c r="J4" s="428" t="n"/>
      <c r="K4" s="429">
        <f>SUM(Table14[Value £])</f>
        <v/>
      </c>
      <c r="L4" s="427" t="n"/>
    </row>
    <row r="5" ht="48.65" customHeight="1" s="251">
      <c r="C5" s="430" t="n"/>
      <c r="I5" s="424" t="inlineStr">
        <is>
          <t xml:space="preserve">Agreed Value </t>
        </is>
      </c>
      <c r="J5" s="428" t="n"/>
      <c r="K5" s="429">
        <f>SUMIF(Table14[Status],"Agreed",Table14[Value £])</f>
        <v/>
      </c>
      <c r="L5" s="427" t="n"/>
    </row>
    <row r="6" ht="48.65" customHeight="1" s="251">
      <c r="C6" s="431" t="inlineStr">
        <is>
          <t>Variation Register</t>
        </is>
      </c>
      <c r="I6" s="424" t="inlineStr">
        <is>
          <t>To be Agreed</t>
        </is>
      </c>
      <c r="J6" s="428" t="n"/>
      <c r="K6" s="429">
        <f>K4-K5</f>
        <v/>
      </c>
      <c r="L6" s="427" t="n"/>
    </row>
    <row r="7" ht="48.65" customHeight="1" s="251">
      <c r="C7" s="431" t="n"/>
      <c r="I7" s="424" t="inlineStr">
        <is>
          <t xml:space="preserve">Progress Total </t>
        </is>
      </c>
      <c r="J7" s="428" t="n"/>
      <c r="K7" s="429">
        <f>SUM(M14:M91)</f>
        <v/>
      </c>
      <c r="L7" s="427" t="n"/>
    </row>
    <row r="8" ht="48.65" customHeight="1" s="251">
      <c r="C8" s="432" t="inlineStr">
        <is>
          <t xml:space="preserve">Struct Steel Engineering Ltd. </t>
        </is>
      </c>
      <c r="D8" s="433" t="n"/>
      <c r="I8" s="424" t="inlineStr">
        <is>
          <t>Agreed %</t>
        </is>
      </c>
      <c r="J8" s="428" t="n"/>
      <c r="K8" s="434">
        <f>IFERROR(K5/K4,"")</f>
        <v/>
      </c>
      <c r="L8" s="427" t="n"/>
    </row>
    <row r="9" ht="48.65" customFormat="1" customHeight="1" s="435">
      <c r="B9" s="436" t="n"/>
      <c r="C9" s="437" t="inlineStr">
        <is>
          <t xml:space="preserve">38 Farnamullan Road, Faughard, Enniskillen, United </t>
        </is>
      </c>
      <c r="D9" s="433" t="n"/>
      <c r="E9" s="438" t="n"/>
      <c r="F9" s="439" t="n"/>
      <c r="G9" s="439" t="n"/>
      <c r="H9" s="439" t="n"/>
      <c r="I9" s="424" t="inlineStr">
        <is>
          <t>No. of Variations</t>
        </is>
      </c>
      <c r="J9" s="428" t="n"/>
      <c r="K9" s="440">
        <f>COUNT(Table14[[ VO]])</f>
        <v/>
      </c>
      <c r="L9" s="427" t="n"/>
      <c r="M9" s="441" t="n"/>
      <c r="N9" s="441" t="n"/>
    </row>
    <row r="10" ht="48.65" customFormat="1" customHeight="1" s="435">
      <c r="B10" s="436" t="n"/>
      <c r="C10" s="442" t="inlineStr">
        <is>
          <t>+44 28 6638 7001</t>
        </is>
      </c>
      <c r="E10" s="438" t="n"/>
      <c r="F10" s="439" t="n"/>
      <c r="G10" s="439" t="n"/>
      <c r="H10" s="439" t="n"/>
      <c r="I10" s="424" t="inlineStr">
        <is>
          <t>No. of Variations Agreed</t>
        </is>
      </c>
      <c r="J10" s="443" t="n"/>
      <c r="K10" s="440">
        <f>COUNTIF(Table14[Status],"Agreed")</f>
        <v/>
      </c>
      <c r="L10" s="427" t="n"/>
      <c r="M10" s="441" t="n"/>
      <c r="N10" s="441" t="n"/>
    </row>
    <row r="11" ht="48.65" customFormat="1" customHeight="1" s="435">
      <c r="C11" s="437" t="inlineStr">
        <is>
          <t>structsteeleng.co.uk</t>
        </is>
      </c>
      <c r="D11" s="433" t="n"/>
      <c r="E11" s="438" t="n"/>
      <c r="F11" s="439" t="n"/>
      <c r="G11" s="439" t="n"/>
      <c r="H11" s="439" t="n"/>
      <c r="I11" s="444" t="inlineStr">
        <is>
          <t>Variations to be Priced</t>
        </is>
      </c>
      <c r="J11" s="445" t="n"/>
      <c r="K11" s="446">
        <f>COUNTIF(Table14[Value £],"tbc")</f>
        <v/>
      </c>
      <c r="L11" s="427" t="n"/>
      <c r="M11" s="441" t="n"/>
      <c r="N11" s="441" t="n"/>
    </row>
    <row r="12" ht="20.15" customHeight="1" s="251"/>
    <row r="13" ht="87.75" customFormat="1" customHeight="1" s="447">
      <c r="B13" s="448" t="inlineStr">
        <is>
          <t>Client Ref</t>
        </is>
      </c>
      <c r="C13" s="448" t="inlineStr">
        <is>
          <t xml:space="preserve"> VO</t>
        </is>
      </c>
      <c r="D13" s="448" t="inlineStr">
        <is>
          <t>Description</t>
        </is>
      </c>
      <c r="E13" s="449" t="inlineStr">
        <is>
          <t xml:space="preserve">Submission </t>
        </is>
      </c>
      <c r="F13" s="450" t="inlineStr">
        <is>
          <t>Value £</t>
        </is>
      </c>
      <c r="G13" s="450" t="inlineStr">
        <is>
          <t xml:space="preserve">Dayworks  </t>
        </is>
      </c>
      <c r="H13" s="450" t="inlineStr">
        <is>
          <t>Daywork Total</t>
        </is>
      </c>
      <c r="I13" s="450" t="inlineStr">
        <is>
          <t>Status</t>
        </is>
      </c>
      <c r="J13" s="449" t="inlineStr">
        <is>
          <t>Date Agreed</t>
        </is>
      </c>
      <c r="K13" s="448" t="inlineStr">
        <is>
          <t>Notes</t>
        </is>
      </c>
      <c r="L13" s="451" t="inlineStr">
        <is>
          <t>Progress %</t>
        </is>
      </c>
      <c r="M13" s="450" t="inlineStr">
        <is>
          <t>Progress £</t>
        </is>
      </c>
      <c r="N13" s="450" t="inlineStr">
        <is>
          <t>Progress Notes</t>
        </is>
      </c>
    </row>
    <row r="14" ht="65.15000000000001" customFormat="1" customHeight="1" s="452">
      <c r="B14" s="453" t="n"/>
      <c r="C14" s="454" t="n">
        <v>1</v>
      </c>
      <c r="D14" s="455" t="inlineStr">
        <is>
          <t xml:space="preserve">Intumescent Paint Off Site Application </t>
        </is>
      </c>
      <c r="E14" s="456" t="n">
        <v>45512</v>
      </c>
      <c r="F14" s="457" t="n">
        <v>0</v>
      </c>
      <c r="G14" s="457" t="n"/>
      <c r="H14" s="457" t="n"/>
      <c r="I14" s="458" t="inlineStr">
        <is>
          <t>Agreed</t>
        </is>
      </c>
      <c r="J14" s="459" t="n">
        <v>45523</v>
      </c>
      <c r="K14" s="460" t="n"/>
      <c r="L14" s="461" t="n">
        <v>1</v>
      </c>
      <c r="M14" s="458">
        <f>IF(Table14[[#This Row],[Progress %]]="","",Table14[[#This Row],[Progress %]]*Table14[[#This Row],[Value £]])</f>
        <v/>
      </c>
      <c r="N14" s="460" t="inlineStr">
        <is>
          <t>In line with S/C % Complete</t>
        </is>
      </c>
    </row>
    <row r="15" ht="65.15000000000001" customFormat="1" customHeight="1" s="452">
      <c r="B15" s="453" t="n"/>
      <c r="C15" s="454" t="n">
        <v>2</v>
      </c>
      <c r="D15" s="462" t="inlineStr">
        <is>
          <t xml:space="preserve">Adds &amp; Omits ; Tender Vs Construction </t>
        </is>
      </c>
      <c r="E15" s="456" t="n"/>
      <c r="F15" s="457" t="inlineStr">
        <is>
          <t>TBC</t>
        </is>
      </c>
      <c r="G15" s="457" t="n"/>
      <c r="H15" s="457" t="n"/>
      <c r="I15" s="458" t="inlineStr">
        <is>
          <t>To be Agreed</t>
        </is>
      </c>
      <c r="J15" s="459" t="n"/>
      <c r="K15" s="460" t="n"/>
      <c r="L15" s="461" t="n"/>
      <c r="M15" s="458">
        <f>IF(Table14[[#This Row],[Progress %]]="","",Table14[[#This Row],[Progress %]]*Table14[[#This Row],[Value £]])</f>
        <v/>
      </c>
      <c r="N15" s="460" t="n"/>
    </row>
    <row r="16" ht="65.15000000000001" customFormat="1" customHeight="1" s="452">
      <c r="B16" s="453" t="n"/>
      <c r="C16" s="454" t="n"/>
      <c r="D16" s="455" t="inlineStr">
        <is>
          <t xml:space="preserve">NEW STEELWOIRK </t>
        </is>
      </c>
      <c r="E16" s="456" t="n"/>
      <c r="F16" s="457" t="n">
        <v>5000</v>
      </c>
      <c r="G16" s="457" t="n"/>
      <c r="H16" s="457" t="n"/>
      <c r="I16" s="458" t="n"/>
      <c r="J16" s="459" t="n"/>
      <c r="K16" s="460" t="n"/>
      <c r="L16" s="461" t="n"/>
      <c r="M16" s="458" t="n"/>
      <c r="N16" s="460" t="n"/>
    </row>
    <row r="17" ht="65.15000000000001" customFormat="1" customHeight="1" s="452">
      <c r="B17" s="453" t="n"/>
      <c r="C17" s="454" t="n"/>
      <c r="D17" s="455" t="n"/>
      <c r="E17" s="456" t="n"/>
      <c r="F17" s="457" t="n"/>
      <c r="G17" s="457" t="n"/>
      <c r="H17" s="457" t="n"/>
      <c r="I17" s="458" t="n"/>
      <c r="J17" s="459" t="n"/>
      <c r="K17" s="460" t="n"/>
      <c r="L17" s="461" t="n"/>
      <c r="M17" s="458" t="n"/>
      <c r="N17" s="460" t="n"/>
    </row>
    <row r="18" ht="65.15000000000001" customFormat="1" customHeight="1" s="452">
      <c r="B18" s="453" t="n"/>
      <c r="C18" s="454" t="n"/>
      <c r="D18" s="455" t="n"/>
      <c r="E18" s="456" t="n"/>
      <c r="F18" s="457" t="n"/>
      <c r="G18" s="457" t="n"/>
      <c r="H18" s="457" t="n"/>
      <c r="I18" s="458" t="n"/>
      <c r="J18" s="459" t="n"/>
      <c r="K18" s="460" t="n"/>
      <c r="L18" s="461" t="n"/>
      <c r="M18" s="458" t="n"/>
      <c r="N18" s="460" t="n"/>
    </row>
    <row r="19" ht="65.15000000000001" customFormat="1" customHeight="1" s="452">
      <c r="B19" s="453" t="n"/>
      <c r="C19" s="454" t="n"/>
      <c r="D19" s="462" t="n"/>
      <c r="E19" s="456" t="n"/>
      <c r="F19" s="457" t="n"/>
      <c r="G19" s="457" t="n"/>
      <c r="H19" s="457" t="n"/>
      <c r="I19" s="458" t="n"/>
      <c r="J19" s="459" t="n"/>
      <c r="K19" s="463" t="n"/>
      <c r="L19" s="464" t="n"/>
      <c r="M19" s="465" t="n"/>
      <c r="N19" s="460" t="n"/>
    </row>
    <row r="20" ht="65.15000000000001" customFormat="1" customHeight="1" s="466">
      <c r="B20" s="453" t="n"/>
      <c r="C20" s="454" t="n"/>
      <c r="D20" s="462" t="n"/>
      <c r="E20" s="456" t="n"/>
      <c r="F20" s="457" t="n"/>
      <c r="G20" s="457" t="n"/>
      <c r="H20" s="457" t="n"/>
      <c r="I20" s="458" t="n"/>
      <c r="J20" s="459" t="n"/>
      <c r="K20" s="460" t="n"/>
      <c r="L20" s="461" t="n"/>
      <c r="M20" s="458" t="n"/>
      <c r="N20" s="460" t="n"/>
    </row>
    <row r="21" ht="65.15000000000001" customFormat="1" customHeight="1" s="466">
      <c r="B21" s="453" t="n"/>
      <c r="C21" s="454" t="n"/>
      <c r="D21" s="455" t="n"/>
      <c r="E21" s="456" t="n"/>
      <c r="F21" s="457" t="n"/>
      <c r="G21" s="457" t="n"/>
      <c r="H21" s="457" t="n"/>
      <c r="I21" s="458" t="n"/>
      <c r="J21" s="459" t="n"/>
      <c r="K21" s="460" t="n"/>
      <c r="L21" s="461" t="n"/>
      <c r="M21" s="458" t="n"/>
      <c r="N21" s="460" t="n"/>
    </row>
    <row r="22" ht="65.15000000000001" customFormat="1" customHeight="1" s="466">
      <c r="B22" s="453" t="n"/>
      <c r="C22" s="454" t="n"/>
      <c r="D22" s="455" t="n"/>
      <c r="E22" s="456" t="n"/>
      <c r="F22" s="457" t="n"/>
      <c r="G22" s="457" t="n"/>
      <c r="H22" s="457" t="n"/>
      <c r="I22" s="458" t="n"/>
      <c r="J22" s="459" t="n"/>
      <c r="K22" s="460" t="n"/>
      <c r="L22" s="461" t="n"/>
      <c r="M22" s="458" t="n"/>
      <c r="N22" s="460" t="n"/>
    </row>
    <row r="23" ht="65.15000000000001" customFormat="1" customHeight="1" s="466">
      <c r="B23" s="453" t="n"/>
      <c r="C23" s="454">
        <f>IF(Table14[[#This Row],[Description]]="","",C22+1)</f>
        <v/>
      </c>
      <c r="D23" s="455" t="n"/>
      <c r="E23" s="456" t="n"/>
      <c r="F23" s="457" t="n"/>
      <c r="G23" s="457" t="n"/>
      <c r="H23" s="457" t="n"/>
      <c r="I23" s="458" t="n"/>
      <c r="J23" s="459" t="n"/>
      <c r="K23" s="460" t="n"/>
      <c r="L23" s="461" t="n"/>
      <c r="M23" s="458">
        <f>IF(Table14[[#This Row],[Progress %]]="","",Table14[[#This Row],[Progress %]]*Table14[[#This Row],[Value £]])</f>
        <v/>
      </c>
      <c r="N23" s="460" t="n"/>
    </row>
    <row r="24" ht="65.15000000000001" customFormat="1" customHeight="1" s="466">
      <c r="B24" s="453" t="n"/>
      <c r="C24" s="454">
        <f>IF(Table14[[#This Row],[Description]]="","",C23+1)</f>
        <v/>
      </c>
      <c r="D24" s="455" t="n"/>
      <c r="E24" s="456" t="n"/>
      <c r="F24" s="457" t="n"/>
      <c r="G24" s="457" t="n"/>
      <c r="H24" s="457" t="n"/>
      <c r="I24" s="458" t="n"/>
      <c r="J24" s="459" t="n"/>
      <c r="K24" s="460" t="n"/>
      <c r="L24" s="461" t="n"/>
      <c r="M24" s="458">
        <f>IF(Table14[[#This Row],[Progress %]]="","",Table14[[#This Row],[Progress %]]*Table14[[#This Row],[Value £]])</f>
        <v/>
      </c>
      <c r="N24" s="460" t="n"/>
    </row>
    <row r="25" ht="65.15000000000001" customFormat="1" customHeight="1" s="466">
      <c r="B25" s="453" t="n"/>
      <c r="C25" s="454">
        <f>IF(Table14[[#This Row],[Description]]="","",C24+1)</f>
        <v/>
      </c>
      <c r="D25" s="455" t="n"/>
      <c r="E25" s="456" t="n"/>
      <c r="F25" s="457" t="n"/>
      <c r="G25" s="457" t="n"/>
      <c r="H25" s="457" t="n"/>
      <c r="I25" s="458" t="n"/>
      <c r="J25" s="459" t="n"/>
      <c r="K25" s="460" t="n"/>
      <c r="L25" s="461" t="n"/>
      <c r="M25" s="458">
        <f>IF(Table14[[#This Row],[Progress %]]="","",Table14[[#This Row],[Progress %]]*Table14[[#This Row],[Value £]])</f>
        <v/>
      </c>
      <c r="N25" s="460" t="n"/>
    </row>
    <row r="26" ht="65.15000000000001" customFormat="1" customHeight="1" s="466">
      <c r="B26" s="453" t="n"/>
      <c r="C26" s="454">
        <f>IF(Table14[[#This Row],[Description]]="","",C25+1)</f>
        <v/>
      </c>
      <c r="D26" s="455" t="n"/>
      <c r="E26" s="456" t="n"/>
      <c r="F26" s="457" t="n"/>
      <c r="G26" s="457" t="n"/>
      <c r="H26" s="457" t="n"/>
      <c r="I26" s="458" t="n"/>
      <c r="J26" s="459" t="n"/>
      <c r="K26" s="460" t="n"/>
      <c r="L26" s="461" t="n"/>
      <c r="M26" s="458">
        <f>IF(Table14[[#This Row],[Progress %]]="","",Table14[[#This Row],[Progress %]]*Table14[[#This Row],[Value £]])</f>
        <v/>
      </c>
      <c r="N26" s="460" t="n"/>
    </row>
    <row r="27" ht="65.15000000000001" customFormat="1" customHeight="1" s="466">
      <c r="B27" s="453" t="n"/>
      <c r="C27" s="454">
        <f>IF(Table14[[#This Row],[Description]]="","",C26+1)</f>
        <v/>
      </c>
      <c r="D27" s="455" t="n"/>
      <c r="E27" s="456" t="n"/>
      <c r="F27" s="457" t="n"/>
      <c r="G27" s="457" t="n"/>
      <c r="H27" s="457" t="n"/>
      <c r="I27" s="458" t="n"/>
      <c r="J27" s="459" t="n"/>
      <c r="K27" s="460" t="n"/>
      <c r="L27" s="461" t="n"/>
      <c r="M27" s="458">
        <f>IF(Table14[[#This Row],[Progress %]]="","",Table14[[#This Row],[Progress %]]*Table14[[#This Row],[Value £]])</f>
        <v/>
      </c>
      <c r="N27" s="460" t="n"/>
    </row>
    <row r="28" ht="65.15000000000001" customFormat="1" customHeight="1" s="466">
      <c r="B28" s="453" t="n"/>
      <c r="C28" s="454">
        <f>IF(Table14[[#This Row],[Description]]="","",C27+1)</f>
        <v/>
      </c>
      <c r="D28" s="455" t="n"/>
      <c r="E28" s="456" t="n"/>
      <c r="F28" s="457" t="n"/>
      <c r="G28" s="457" t="n"/>
      <c r="H28" s="457" t="n"/>
      <c r="I28" s="458" t="n"/>
      <c r="J28" s="459" t="n"/>
      <c r="K28" s="460" t="n"/>
      <c r="L28" s="461" t="n"/>
      <c r="M28" s="458">
        <f>IF(Table14[[#This Row],[Progress %]]="","",Table14[[#This Row],[Progress %]]*Table14[[#This Row],[Value £]])</f>
        <v/>
      </c>
      <c r="N28" s="460" t="n"/>
    </row>
    <row r="29" ht="65.15000000000001" customFormat="1" customHeight="1" s="466">
      <c r="B29" s="453" t="n"/>
      <c r="C29" s="454">
        <f>IF(Table14[[#This Row],[Description]]="","",C28+1)</f>
        <v/>
      </c>
      <c r="D29" s="455" t="n"/>
      <c r="E29" s="456" t="n"/>
      <c r="F29" s="457" t="n"/>
      <c r="G29" s="457" t="n"/>
      <c r="H29" s="457" t="n"/>
      <c r="I29" s="458" t="n"/>
      <c r="J29" s="459" t="n"/>
      <c r="K29" s="460" t="n"/>
      <c r="L29" s="461" t="n"/>
      <c r="M29" s="458">
        <f>IF(Table14[[#This Row],[Progress %]]="","",Table14[[#This Row],[Progress %]]*Table14[[#This Row],[Value £]])</f>
        <v/>
      </c>
      <c r="N29" s="460" t="n"/>
    </row>
    <row r="30" ht="65.15000000000001" customFormat="1" customHeight="1" s="466">
      <c r="B30" s="453" t="n"/>
      <c r="C30" s="454">
        <f>IF(Table14[[#This Row],[Description]]="","",C29+1)</f>
        <v/>
      </c>
      <c r="D30" s="455" t="n"/>
      <c r="E30" s="456" t="n"/>
      <c r="F30" s="457" t="n"/>
      <c r="G30" s="457" t="n"/>
      <c r="H30" s="457" t="n"/>
      <c r="I30" s="458" t="n"/>
      <c r="J30" s="459" t="n"/>
      <c r="K30" s="460" t="n"/>
      <c r="L30" s="461" t="n"/>
      <c r="M30" s="458">
        <f>IF(Table14[[#This Row],[Progress %]]="","",Table14[[#This Row],[Progress %]]*Table14[[#This Row],[Value £]])</f>
        <v/>
      </c>
      <c r="N30" s="460" t="n"/>
    </row>
    <row r="31" ht="65.15000000000001" customFormat="1" customHeight="1" s="466">
      <c r="B31" s="453" t="n"/>
      <c r="C31" s="454">
        <f>IF(Table14[[#This Row],[Description]]="","",C30+1)</f>
        <v/>
      </c>
      <c r="D31" s="455" t="n"/>
      <c r="E31" s="456" t="n"/>
      <c r="F31" s="457" t="n"/>
      <c r="G31" s="457" t="n"/>
      <c r="H31" s="457" t="n"/>
      <c r="I31" s="458" t="n"/>
      <c r="J31" s="459" t="n"/>
      <c r="K31" s="460" t="n"/>
      <c r="L31" s="461" t="n"/>
      <c r="M31" s="458">
        <f>IF(Table14[[#This Row],[Progress %]]="","",Table14[[#This Row],[Progress %]]*Table14[[#This Row],[Value £]])</f>
        <v/>
      </c>
      <c r="N31" s="460" t="n"/>
    </row>
    <row r="32" ht="65.15000000000001" customFormat="1" customHeight="1" s="466">
      <c r="B32" s="453" t="n"/>
      <c r="C32" s="454">
        <f>IF(Table14[[#This Row],[Description]]="","",C31+1)</f>
        <v/>
      </c>
      <c r="D32" s="455" t="n"/>
      <c r="E32" s="456" t="n"/>
      <c r="F32" s="457" t="n"/>
      <c r="G32" s="457" t="n"/>
      <c r="H32" s="457" t="n"/>
      <c r="I32" s="458" t="n"/>
      <c r="J32" s="459" t="n"/>
      <c r="K32" s="460" t="n"/>
      <c r="L32" s="461" t="n"/>
      <c r="M32" s="458">
        <f>IF(Table14[[#This Row],[Progress %]]="","",Table14[[#This Row],[Progress %]]*Table14[[#This Row],[Value £]])</f>
        <v/>
      </c>
      <c r="N32" s="460" t="n"/>
    </row>
    <row r="33" ht="65.15000000000001" customFormat="1" customHeight="1" s="466">
      <c r="B33" s="453" t="n"/>
      <c r="C33" s="454">
        <f>IF(Table14[[#This Row],[Description]]="","",C32+1)</f>
        <v/>
      </c>
      <c r="D33" s="455" t="n"/>
      <c r="E33" s="456" t="n"/>
      <c r="F33" s="457" t="n"/>
      <c r="G33" s="457" t="n"/>
      <c r="H33" s="457" t="n"/>
      <c r="I33" s="458" t="n"/>
      <c r="J33" s="459" t="n"/>
      <c r="K33" s="460" t="n"/>
      <c r="L33" s="461" t="n"/>
      <c r="M33" s="458">
        <f>IF(Table14[[#This Row],[Progress %]]="","",Table14[[#This Row],[Progress %]]*Table14[[#This Row],[Value £]])</f>
        <v/>
      </c>
      <c r="N33" s="460" t="n"/>
    </row>
    <row r="34" ht="65.15000000000001" customFormat="1" customHeight="1" s="466">
      <c r="B34" s="453" t="n"/>
      <c r="C34" s="454">
        <f>IF(Table14[[#This Row],[Description]]="","",C33+1)</f>
        <v/>
      </c>
      <c r="D34" s="455" t="n"/>
      <c r="E34" s="456" t="n"/>
      <c r="F34" s="457" t="n"/>
      <c r="G34" s="457" t="n"/>
      <c r="H34" s="457" t="n"/>
      <c r="I34" s="458" t="n"/>
      <c r="J34" s="459" t="n"/>
      <c r="K34" s="460" t="n"/>
      <c r="L34" s="461" t="n"/>
      <c r="M34" s="458">
        <f>IF(Table14[[#This Row],[Progress %]]="","",Table14[[#This Row],[Progress %]]*Table14[[#This Row],[Value £]])</f>
        <v/>
      </c>
      <c r="N34" s="460" t="n"/>
    </row>
    <row r="35" ht="65.15000000000001" customFormat="1" customHeight="1" s="466">
      <c r="B35" s="453" t="n"/>
      <c r="C35" s="454">
        <f>IF(Table14[[#This Row],[Description]]="","",C34+1)</f>
        <v/>
      </c>
      <c r="D35" s="455" t="n"/>
      <c r="E35" s="456" t="n"/>
      <c r="F35" s="457" t="n"/>
      <c r="G35" s="457" t="n"/>
      <c r="H35" s="457" t="n"/>
      <c r="I35" s="458" t="n"/>
      <c r="J35" s="459" t="n"/>
      <c r="K35" s="460" t="n"/>
      <c r="L35" s="461" t="n"/>
      <c r="M35" s="458">
        <f>IF(Table14[[#This Row],[Progress %]]="","",Table14[[#This Row],[Progress %]]*Table14[[#This Row],[Value £]])</f>
        <v/>
      </c>
      <c r="N35" s="460" t="n"/>
    </row>
    <row r="36" ht="65.15000000000001" customFormat="1" customHeight="1" s="466">
      <c r="B36" s="453" t="n"/>
      <c r="C36" s="454">
        <f>IF(Table14[[#This Row],[Description]]="","",C35+1)</f>
        <v/>
      </c>
      <c r="D36" s="455" t="n"/>
      <c r="E36" s="456" t="n"/>
      <c r="F36" s="457" t="n"/>
      <c r="G36" s="457" t="n"/>
      <c r="H36" s="457" t="n"/>
      <c r="I36" s="458" t="n"/>
      <c r="J36" s="459" t="n"/>
      <c r="K36" s="460" t="n"/>
      <c r="L36" s="461" t="n"/>
      <c r="M36" s="458">
        <f>IF(Table14[[#This Row],[Progress %]]="","",Table14[[#This Row],[Progress %]]*Table14[[#This Row],[Value £]])</f>
        <v/>
      </c>
      <c r="N36" s="460" t="n"/>
    </row>
    <row r="37" ht="65.15000000000001" customFormat="1" customHeight="1" s="466">
      <c r="B37" s="453" t="n"/>
      <c r="C37" s="454">
        <f>IF(Table14[[#This Row],[Description]]="","",C36+1)</f>
        <v/>
      </c>
      <c r="D37" s="455" t="n"/>
      <c r="E37" s="456" t="n"/>
      <c r="F37" s="457" t="n"/>
      <c r="G37" s="457" t="n"/>
      <c r="H37" s="457" t="n"/>
      <c r="I37" s="458" t="n"/>
      <c r="J37" s="459" t="n"/>
      <c r="K37" s="460" t="n"/>
      <c r="L37" s="461" t="n"/>
      <c r="M37" s="458">
        <f>IF(Table14[[#This Row],[Progress %]]="","",Table14[[#This Row],[Progress %]]*Table14[[#This Row],[Value £]])</f>
        <v/>
      </c>
      <c r="N37" s="460" t="n"/>
    </row>
    <row r="38" ht="65.15000000000001" customFormat="1" customHeight="1" s="466">
      <c r="B38" s="453" t="n"/>
      <c r="C38" s="454">
        <f>IF(Table14[[#This Row],[Description]]="","",C37+1)</f>
        <v/>
      </c>
      <c r="D38" s="455" t="n"/>
      <c r="E38" s="456" t="n"/>
      <c r="F38" s="457" t="n"/>
      <c r="G38" s="457" t="n"/>
      <c r="H38" s="457" t="n"/>
      <c r="I38" s="458" t="n"/>
      <c r="J38" s="459" t="n"/>
      <c r="K38" s="460" t="n"/>
      <c r="L38" s="461" t="n"/>
      <c r="M38" s="458">
        <f>IF(Table14[[#This Row],[Progress %]]="","",Table14[[#This Row],[Progress %]]*Table14[[#This Row],[Value £]])</f>
        <v/>
      </c>
      <c r="N38" s="460" t="n"/>
    </row>
    <row r="39" ht="65.15000000000001" customFormat="1" customHeight="1" s="466">
      <c r="B39" s="453" t="n"/>
      <c r="C39" s="454">
        <f>IF(Table14[[#This Row],[Description]]="","",C38+1)</f>
        <v/>
      </c>
      <c r="D39" s="455" t="n"/>
      <c r="E39" s="456" t="n"/>
      <c r="F39" s="457" t="n"/>
      <c r="G39" s="457" t="n"/>
      <c r="H39" s="457" t="n"/>
      <c r="I39" s="458" t="n"/>
      <c r="J39" s="459" t="n"/>
      <c r="K39" s="460" t="n"/>
      <c r="L39" s="461" t="n"/>
      <c r="M39" s="458">
        <f>IF(Table14[[#This Row],[Progress %]]="","",Table14[[#This Row],[Progress %]]*Table14[[#This Row],[Value £]])</f>
        <v/>
      </c>
      <c r="N39" s="460" t="n"/>
    </row>
    <row r="40" ht="65.15000000000001" customFormat="1" customHeight="1" s="466">
      <c r="B40" s="453" t="n"/>
      <c r="C40" s="454">
        <f>IF(Table14[[#This Row],[Description]]="","",C39+1)</f>
        <v/>
      </c>
      <c r="D40" s="455" t="n"/>
      <c r="E40" s="456" t="n"/>
      <c r="F40" s="457" t="n"/>
      <c r="G40" s="457" t="n"/>
      <c r="H40" s="457" t="n"/>
      <c r="I40" s="458" t="n"/>
      <c r="J40" s="459" t="n"/>
      <c r="K40" s="460" t="n"/>
      <c r="L40" s="461" t="n"/>
      <c r="M40" s="458">
        <f>IF(Table14[[#This Row],[Progress %]]="","",Table14[[#This Row],[Progress %]]*Table14[[#This Row],[Value £]])</f>
        <v/>
      </c>
      <c r="N40" s="460" t="n"/>
    </row>
    <row r="41" ht="65.15000000000001" customFormat="1" customHeight="1" s="466">
      <c r="B41" s="453" t="n"/>
      <c r="C41" s="454">
        <f>IF(Table14[[#This Row],[Description]]="","",C40+1)</f>
        <v/>
      </c>
      <c r="D41" s="455" t="n"/>
      <c r="E41" s="456" t="n"/>
      <c r="F41" s="457" t="n"/>
      <c r="G41" s="457" t="n"/>
      <c r="H41" s="457" t="n"/>
      <c r="I41" s="458" t="n"/>
      <c r="J41" s="459" t="n"/>
      <c r="K41" s="460" t="n"/>
      <c r="L41" s="461" t="n"/>
      <c r="M41" s="458">
        <f>IF(Table14[[#This Row],[Progress %]]="","",Table14[[#This Row],[Progress %]]*Table14[[#This Row],[Value £]])</f>
        <v/>
      </c>
      <c r="N41" s="460" t="n"/>
    </row>
    <row r="42" ht="65.15000000000001" customFormat="1" customHeight="1" s="466">
      <c r="B42" s="453" t="n"/>
      <c r="C42" s="454">
        <f>IF(Table14[[#This Row],[Description]]="","",C41+1)</f>
        <v/>
      </c>
      <c r="D42" s="455" t="n"/>
      <c r="E42" s="456" t="n"/>
      <c r="F42" s="457" t="n"/>
      <c r="G42" s="457" t="n"/>
      <c r="H42" s="457" t="n"/>
      <c r="I42" s="458" t="n"/>
      <c r="J42" s="459" t="n"/>
      <c r="K42" s="460" t="n"/>
      <c r="L42" s="461" t="n"/>
      <c r="M42" s="458">
        <f>IF(Table14[[#This Row],[Progress %]]="","",Table14[[#This Row],[Progress %]]*Table14[[#This Row],[Value £]])</f>
        <v/>
      </c>
      <c r="N42" s="460" t="n"/>
    </row>
    <row r="43" ht="65.15000000000001" customFormat="1" customHeight="1" s="466">
      <c r="B43" s="453" t="n"/>
      <c r="C43" s="454">
        <f>IF(Table14[[#This Row],[Description]]="","",C42+1)</f>
        <v/>
      </c>
      <c r="D43" s="455" t="n"/>
      <c r="E43" s="456" t="n"/>
      <c r="F43" s="457" t="n"/>
      <c r="G43" s="457" t="n"/>
      <c r="H43" s="457" t="n"/>
      <c r="I43" s="458" t="n"/>
      <c r="J43" s="459" t="n"/>
      <c r="K43" s="460" t="n"/>
      <c r="L43" s="461" t="n"/>
      <c r="M43" s="458">
        <f>IF(Table14[[#This Row],[Progress %]]="","",Table14[[#This Row],[Progress %]]*Table14[[#This Row],[Value £]])</f>
        <v/>
      </c>
      <c r="N43" s="460" t="n"/>
    </row>
    <row r="44" ht="65.15000000000001" customFormat="1" customHeight="1" s="466">
      <c r="B44" s="453" t="n"/>
      <c r="C44" s="454">
        <f>IF(Table14[[#This Row],[Description]]="","",C43+1)</f>
        <v/>
      </c>
      <c r="D44" s="455" t="n"/>
      <c r="E44" s="456" t="n"/>
      <c r="F44" s="457" t="n"/>
      <c r="G44" s="457" t="n"/>
      <c r="H44" s="457" t="n"/>
      <c r="I44" s="458" t="n"/>
      <c r="J44" s="459" t="n"/>
      <c r="K44" s="460" t="n"/>
      <c r="L44" s="461" t="n"/>
      <c r="M44" s="458">
        <f>IF(Table14[[#This Row],[Progress %]]="","",Table14[[#This Row],[Progress %]]*Table14[[#This Row],[Value £]])</f>
        <v/>
      </c>
      <c r="N44" s="460" t="n"/>
    </row>
    <row r="45" ht="65.15000000000001" customFormat="1" customHeight="1" s="466">
      <c r="B45" s="453" t="n"/>
      <c r="C45" s="454">
        <f>IF(Table14[[#This Row],[Description]]="","",C44+1)</f>
        <v/>
      </c>
      <c r="D45" s="455" t="n"/>
      <c r="E45" s="456" t="n"/>
      <c r="F45" s="457" t="n"/>
      <c r="G45" s="457" t="n"/>
      <c r="H45" s="457">
        <f>IF(SUMIF([3]!table15[vo '#],table14[[#this row],[ vo]],[3]!table15[total £])=0,"",sumif([3]!table15[vo '#],Table14[[#This Row],[ VO]],[3]!table15[total £]))),TRUE())),TRUE())),TRUE())),TRUE())),TRUE())),TRUE())),TRUE())),TRUE())),TRUE())),TRUE())</f>
        <v/>
      </c>
      <c r="I45" s="458" t="n"/>
      <c r="J45" s="459" t="n"/>
      <c r="K45" s="460" t="n"/>
      <c r="L45" s="461" t="n"/>
      <c r="M45" s="458">
        <f>IF(Table14[[#This Row],[Progress %]]="","",Table14[[#This Row],[Progress %]]*Table14[[#This Row],[Value £]])</f>
        <v/>
      </c>
      <c r="N45" s="460" t="n"/>
    </row>
    <row r="46" ht="65.15000000000001" customFormat="1" customHeight="1" s="466">
      <c r="B46" s="453" t="n"/>
      <c r="C46" s="454">
        <f>IF(Table14[[#This Row],[Description]]="","",C45+1)</f>
        <v/>
      </c>
      <c r="D46" s="455" t="n"/>
      <c r="E46" s="456" t="n"/>
      <c r="F46" s="457" t="n"/>
      <c r="G46" s="457" t="n"/>
      <c r="H46" s="457" t="n"/>
      <c r="I46" s="458" t="n"/>
      <c r="J46" s="459" t="n"/>
      <c r="K46" s="460" t="n"/>
      <c r="L46" s="461" t="n"/>
      <c r="M46" s="458">
        <f>IF(Table14[[#This Row],[Progress %]]="","",Table14[[#This Row],[Progress %]]*Table14[[#This Row],[Value £]])</f>
        <v/>
      </c>
      <c r="N46" s="460" t="n"/>
    </row>
    <row r="47" ht="65.15000000000001" customFormat="1" customHeight="1" s="466">
      <c r="B47" s="453" t="n"/>
      <c r="C47" s="454">
        <f>IF(Table14[[#This Row],[Description]]="","",C46+1)</f>
        <v/>
      </c>
      <c r="D47" s="455" t="n"/>
      <c r="E47" s="456" t="n"/>
      <c r="F47" s="457" t="n"/>
      <c r="G47" s="457" t="n"/>
      <c r="H47" s="457" t="n"/>
      <c r="I47" s="458" t="n"/>
      <c r="J47" s="459" t="n"/>
      <c r="K47" s="460" t="n"/>
      <c r="L47" s="461" t="n"/>
      <c r="M47" s="458">
        <f>IF(Table14[[#This Row],[Progress %]]="","",Table14[[#This Row],[Progress %]]*Table14[[#This Row],[Value £]])</f>
        <v/>
      </c>
      <c r="N47" s="460" t="n"/>
    </row>
    <row r="48" ht="65.15000000000001" customFormat="1" customHeight="1" s="466">
      <c r="B48" s="453" t="n"/>
      <c r="C48" s="454">
        <f>IF(Table14[[#This Row],[Description]]="","",C47+1)</f>
        <v/>
      </c>
      <c r="D48" s="455" t="n"/>
      <c r="E48" s="456" t="n"/>
      <c r="F48" s="457" t="n"/>
      <c r="G48" s="457" t="n"/>
      <c r="H48" s="457" t="n"/>
      <c r="I48" s="458" t="n"/>
      <c r="J48" s="459" t="n"/>
      <c r="K48" s="460" t="n"/>
      <c r="L48" s="461" t="n"/>
      <c r="M48" s="458">
        <f>IF(Table14[[#This Row],[Progress %]]="","",Table14[[#This Row],[Progress %]]*Table14[[#This Row],[Value £]])</f>
        <v/>
      </c>
      <c r="N48" s="460" t="n"/>
    </row>
    <row r="49" ht="65.15000000000001" customFormat="1" customHeight="1" s="466">
      <c r="B49" s="453" t="n"/>
      <c r="C49" s="454">
        <f>IF(Table14[[#This Row],[Description]]="","",C48+1)</f>
        <v/>
      </c>
      <c r="D49" s="455" t="n"/>
      <c r="E49" s="456" t="n"/>
      <c r="F49" s="457" t="n"/>
      <c r="G49" s="457" t="n"/>
      <c r="H49" s="457" t="n"/>
      <c r="I49" s="458" t="n"/>
      <c r="J49" s="459" t="n"/>
      <c r="K49" s="460" t="n"/>
      <c r="L49" s="461" t="n"/>
      <c r="M49" s="458">
        <f>IF(Table14[[#This Row],[Progress %]]="","",Table14[[#This Row],[Progress %]]*Table14[[#This Row],[Value £]])</f>
        <v/>
      </c>
      <c r="N49" s="460" t="n"/>
    </row>
    <row r="50" ht="65.15000000000001" customFormat="1" customHeight="1" s="466">
      <c r="B50" s="453" t="n"/>
      <c r="C50" s="454">
        <f>IF(Table14[[#This Row],[Description]]="","",C49+1)</f>
        <v/>
      </c>
      <c r="D50" s="455" t="n"/>
      <c r="E50" s="456" t="n"/>
      <c r="F50" s="457" t="n"/>
      <c r="G50" s="457" t="n"/>
      <c r="H50" s="457" t="n"/>
      <c r="I50" s="458" t="n"/>
      <c r="J50" s="459" t="n"/>
      <c r="K50" s="460" t="n"/>
      <c r="L50" s="461" t="n"/>
      <c r="M50" s="458">
        <f>IF(Table14[[#This Row],[Progress %]]="","",Table14[[#This Row],[Progress %]]*Table14[[#This Row],[Value £]])</f>
        <v/>
      </c>
      <c r="N50" s="460" t="n"/>
    </row>
    <row r="51" ht="65.15000000000001" customFormat="1" customHeight="1" s="466">
      <c r="B51" s="453" t="n"/>
      <c r="C51" s="454">
        <f>IF(Table14[[#This Row],[Description]]="","",C50+1)</f>
        <v/>
      </c>
      <c r="D51" s="455" t="n"/>
      <c r="E51" s="456" t="n"/>
      <c r="F51" s="457" t="n"/>
      <c r="G51" s="457" t="n"/>
      <c r="H51" s="457" t="n"/>
      <c r="I51" s="458" t="n"/>
      <c r="J51" s="459" t="n"/>
      <c r="K51" s="460" t="n"/>
      <c r="L51" s="461" t="n"/>
      <c r="M51" s="458">
        <f>IF(Table14[[#This Row],[Progress %]]="","",Table14[[#This Row],[Progress %]]*Table14[[#This Row],[Value £]])</f>
        <v/>
      </c>
      <c r="N51" s="460" t="n"/>
    </row>
    <row r="52" ht="65.15000000000001" customFormat="1" customHeight="1" s="466">
      <c r="B52" s="453" t="n"/>
      <c r="C52" s="454">
        <f>IF(Table14[[#This Row],[Description]]="","",C51+1)</f>
        <v/>
      </c>
      <c r="D52" s="455" t="n"/>
      <c r="E52" s="456" t="n"/>
      <c r="F52" s="457" t="n"/>
      <c r="G52" s="457" t="n"/>
      <c r="H52" s="457" t="n"/>
      <c r="I52" s="458" t="n"/>
      <c r="J52" s="459" t="n"/>
      <c r="K52" s="460" t="n"/>
      <c r="L52" s="461" t="n"/>
      <c r="M52" s="458">
        <f>IF(Table14[[#This Row],[Progress %]]="","",Table14[[#This Row],[Progress %]]*Table14[[#This Row],[Value £]])</f>
        <v/>
      </c>
      <c r="N52" s="460" t="n"/>
    </row>
    <row r="53" ht="65.15000000000001" customFormat="1" customHeight="1" s="466">
      <c r="B53" s="453" t="n"/>
      <c r="C53" s="454">
        <f>IF(Table14[[#This Row],[Description]]="","",C52+1)</f>
        <v/>
      </c>
      <c r="D53" s="455" t="n"/>
      <c r="E53" s="456" t="n"/>
      <c r="F53" s="457" t="n"/>
      <c r="G53" s="457" t="n"/>
      <c r="H53" s="457" t="n"/>
      <c r="I53" s="458" t="n"/>
      <c r="J53" s="459" t="n"/>
      <c r="K53" s="460" t="n"/>
      <c r="L53" s="461" t="n"/>
      <c r="M53" s="458">
        <f>IF(Table14[[#This Row],[Progress %]]="","",Table14[[#This Row],[Progress %]]*Table14[[#This Row],[Value £]])</f>
        <v/>
      </c>
      <c r="N53" s="460" t="n"/>
    </row>
    <row r="54" ht="65.15000000000001" customFormat="1" customHeight="1" s="466">
      <c r="B54" s="453" t="n"/>
      <c r="C54" s="454">
        <f>IF(Table14[[#This Row],[Description]]="","",C53+1)</f>
        <v/>
      </c>
      <c r="D54" s="455" t="n"/>
      <c r="E54" s="456" t="n"/>
      <c r="F54" s="457" t="n"/>
      <c r="G54" s="457" t="n"/>
      <c r="H54" s="457" t="inlineStr">
        <is>
          <t xml:space="preserve"> </t>
        </is>
      </c>
      <c r="I54" s="458" t="n"/>
      <c r="J54" s="459" t="n"/>
      <c r="K54" s="460" t="n"/>
      <c r="L54" s="461" t="n"/>
      <c r="M54" s="458">
        <f>IF(Table14[[#This Row],[Progress %]]="","",Table14[[#This Row],[Progress %]]*Table14[[#This Row],[Value £]])</f>
        <v/>
      </c>
      <c r="N54" s="460" t="n"/>
    </row>
    <row r="55" ht="65.15000000000001" customFormat="1" customHeight="1" s="466">
      <c r="B55" s="453" t="n"/>
      <c r="C55" s="454">
        <f>IF(Table14[[#This Row],[Description]]="","",C54+1)</f>
        <v/>
      </c>
      <c r="D55" s="455" t="n"/>
      <c r="E55" s="456" t="n"/>
      <c r="F55" s="457" t="n"/>
      <c r="G55" s="457" t="n"/>
      <c r="H55" s="457" t="n"/>
      <c r="I55" s="458" t="n"/>
      <c r="J55" s="459" t="n"/>
      <c r="K55" s="460" t="n"/>
      <c r="L55" s="461" t="n"/>
      <c r="M55" s="458">
        <f>IF(Table14[[#This Row],[Progress %]]="","",Table14[[#This Row],[Progress %]]*Table14[[#This Row],[Value £]])</f>
        <v/>
      </c>
      <c r="N55" s="460" t="n"/>
    </row>
    <row r="56" ht="65.15000000000001" customFormat="1" customHeight="1" s="466">
      <c r="B56" s="453" t="n"/>
      <c r="C56" s="454">
        <f>IF(Table14[[#This Row],[Description]]="","",C55+1)</f>
        <v/>
      </c>
      <c r="D56" s="455" t="n"/>
      <c r="E56" s="456" t="n"/>
      <c r="F56" s="457" t="n"/>
      <c r="G56" s="457" t="n"/>
      <c r="H56" s="457" t="n"/>
      <c r="I56" s="458" t="n"/>
      <c r="J56" s="459" t="n"/>
      <c r="K56" s="460" t="n"/>
      <c r="L56" s="461" t="n"/>
      <c r="M56" s="458">
        <f>IF(Table14[[#This Row],[Progress %]]="","",Table14[[#This Row],[Progress %]]*Table14[[#This Row],[Value £]])</f>
        <v/>
      </c>
      <c r="N56" s="460" t="n"/>
    </row>
    <row r="57" ht="65.15000000000001" customFormat="1" customHeight="1" s="466">
      <c r="B57" s="453" t="n"/>
      <c r="C57" s="454">
        <f>IF(Table14[[#This Row],[Description]]="","",C56+1)</f>
        <v/>
      </c>
      <c r="D57" s="455" t="n"/>
      <c r="E57" s="456" t="n"/>
      <c r="F57" s="457" t="n"/>
      <c r="G57" s="457" t="n"/>
      <c r="H57" s="457" t="n"/>
      <c r="I57" s="458" t="n"/>
      <c r="J57" s="459" t="n"/>
      <c r="K57" s="460" t="n"/>
      <c r="L57" s="461" t="n"/>
      <c r="M57" s="458">
        <f>IF(Table14[[#This Row],[Progress %]]="","",Table14[[#This Row],[Progress %]]*Table14[[#This Row],[Value £]])</f>
        <v/>
      </c>
      <c r="N57" s="460" t="n"/>
    </row>
    <row r="58" ht="65.15000000000001" customFormat="1" customHeight="1" s="466">
      <c r="B58" s="453" t="n"/>
      <c r="C58" s="454">
        <f>IF(Table14[[#This Row],[Description]]="","",C57+1)</f>
        <v/>
      </c>
      <c r="D58" s="455" t="n"/>
      <c r="E58" s="456" t="n"/>
      <c r="F58" s="457" t="n"/>
      <c r="G58" s="457" t="n"/>
      <c r="H58" s="457" t="n"/>
      <c r="I58" s="458" t="n"/>
      <c r="J58" s="459" t="n"/>
      <c r="K58" s="460" t="n"/>
      <c r="L58" s="461" t="n"/>
      <c r="M58" s="458">
        <f>IF(Table14[[#This Row],[Progress %]]="","",Table14[[#This Row],[Progress %]]*Table14[[#This Row],[Value £]])</f>
        <v/>
      </c>
      <c r="N58" s="460" t="n"/>
    </row>
    <row r="59" ht="65.15000000000001" customFormat="1" customHeight="1" s="466">
      <c r="B59" s="453" t="n"/>
      <c r="C59" s="454">
        <f>IF(Table14[[#This Row],[Description]]="","",C58+1)</f>
        <v/>
      </c>
      <c r="D59" s="455" t="n"/>
      <c r="E59" s="456" t="n"/>
      <c r="F59" s="457" t="n"/>
      <c r="G59" s="457" t="n"/>
      <c r="H59" s="457" t="n"/>
      <c r="I59" s="458" t="n"/>
      <c r="J59" s="459" t="n"/>
      <c r="K59" s="460" t="n"/>
      <c r="L59" s="461" t="n"/>
      <c r="M59" s="458">
        <f>IF(Table14[[#This Row],[Progress %]]="","",Table14[[#This Row],[Progress %]]*Table14[[#This Row],[Value £]])</f>
        <v/>
      </c>
      <c r="N59" s="460" t="n"/>
    </row>
    <row r="60" ht="65.15000000000001" customFormat="1" customHeight="1" s="452">
      <c r="B60" s="453" t="n"/>
      <c r="C60" s="454">
        <f>IF(Table14[[#This Row],[Description]]="","",C59+1)</f>
        <v/>
      </c>
      <c r="D60" s="455" t="n"/>
      <c r="E60" s="456" t="n"/>
      <c r="F60" s="457" t="n"/>
      <c r="G60" s="457" t="n"/>
      <c r="H60" s="457" t="n"/>
      <c r="I60" s="458" t="n"/>
      <c r="J60" s="459" t="n"/>
      <c r="K60" s="460" t="n"/>
      <c r="L60" s="461" t="n"/>
      <c r="M60" s="458">
        <f>IF(Table14[[#This Row],[Progress %]]="","",Table14[[#This Row],[Progress %]]*Table14[[#This Row],[Value £]])</f>
        <v/>
      </c>
      <c r="N60" s="460" t="n"/>
    </row>
    <row r="61" ht="65.15000000000001" customFormat="1" customHeight="1" s="452">
      <c r="B61" s="453" t="n"/>
      <c r="C61" s="454">
        <f>IF(Table14[[#This Row],[Description]]="","",C60+1)</f>
        <v/>
      </c>
      <c r="D61" s="455" t="n"/>
      <c r="E61" s="456" t="n"/>
      <c r="F61" s="457" t="n"/>
      <c r="G61" s="457" t="n"/>
      <c r="H61" s="457" t="n"/>
      <c r="I61" s="458" t="n"/>
      <c r="J61" s="459" t="n"/>
      <c r="K61" s="460" t="n"/>
      <c r="L61" s="461" t="n"/>
      <c r="M61" s="458">
        <f>IF(Table14[[#This Row],[Progress %]]="","",Table14[[#This Row],[Progress %]]*Table14[[#This Row],[Value £]])</f>
        <v/>
      </c>
      <c r="N61" s="460" t="n"/>
    </row>
    <row r="62" ht="65.15000000000001" customFormat="1" customHeight="1" s="452">
      <c r="B62" s="453" t="n"/>
      <c r="C62" s="454">
        <f>IF(Table14[[#This Row],[Description]]="","",C61+1)</f>
        <v/>
      </c>
      <c r="D62" s="455" t="n"/>
      <c r="E62" s="456" t="n"/>
      <c r="F62" s="457" t="n"/>
      <c r="G62" s="457" t="n"/>
      <c r="H62" s="457" t="n"/>
      <c r="I62" s="458" t="n"/>
      <c r="J62" s="459" t="n"/>
      <c r="K62" s="460" t="n"/>
      <c r="L62" s="461" t="n"/>
      <c r="M62" s="458">
        <f>IF(Table14[[#This Row],[Progress %]]="","",Table14[[#This Row],[Progress %]]*Table14[[#This Row],[Value £]])</f>
        <v/>
      </c>
      <c r="N62" s="460" t="n"/>
    </row>
    <row r="63" ht="65.15000000000001" customFormat="1" customHeight="1" s="452">
      <c r="B63" s="453" t="n"/>
      <c r="C63" s="454">
        <f>IF(Table14[[#This Row],[Description]]="","",C62+1)</f>
        <v/>
      </c>
      <c r="D63" s="455" t="n"/>
      <c r="E63" s="456" t="n"/>
      <c r="F63" s="457" t="n"/>
      <c r="G63" s="457" t="n"/>
      <c r="H63" s="457" t="n"/>
      <c r="I63" s="458" t="n"/>
      <c r="J63" s="459" t="n"/>
      <c r="K63" s="460" t="n"/>
      <c r="L63" s="461" t="n"/>
      <c r="M63" s="458">
        <f>IF(Table14[[#This Row],[Progress %]]="","",Table14[[#This Row],[Progress %]]*Table14[[#This Row],[Value £]])</f>
        <v/>
      </c>
      <c r="N63" s="460" t="n"/>
    </row>
    <row r="64" ht="65.15000000000001" customFormat="1" customHeight="1" s="452">
      <c r="B64" s="453" t="n"/>
      <c r="C64" s="454">
        <f>IF(Table14[[#This Row],[Description]]="","",C63+1)</f>
        <v/>
      </c>
      <c r="D64" s="455" t="n"/>
      <c r="E64" s="456" t="n"/>
      <c r="F64" s="457" t="n"/>
      <c r="G64" s="457" t="n"/>
      <c r="H64" s="457" t="n"/>
      <c r="I64" s="458" t="n"/>
      <c r="J64" s="459" t="n"/>
      <c r="K64" s="463" t="n"/>
      <c r="L64" s="464" t="n"/>
      <c r="M64" s="465">
        <f>IF(Table14[[#This Row],[Progress %]]="","",Table14[[#This Row],[Progress %]]*Table14[[#This Row],[Value £]])</f>
        <v/>
      </c>
      <c r="N64" s="460" t="n"/>
    </row>
    <row r="65" ht="65.15000000000001" customFormat="1" customHeight="1" s="452">
      <c r="B65" s="453" t="n"/>
      <c r="C65" s="454">
        <f>IF(Table14[[#This Row],[Description]]="","",C64+1)</f>
        <v/>
      </c>
      <c r="D65" s="455" t="n"/>
      <c r="E65" s="456" t="n"/>
      <c r="F65" s="457" t="n"/>
      <c r="G65" s="457" t="n"/>
      <c r="H65" s="457" t="n"/>
      <c r="I65" s="458" t="n"/>
      <c r="J65" s="459" t="n"/>
      <c r="K65" s="460" t="n"/>
      <c r="L65" s="461" t="n"/>
      <c r="M65" s="458">
        <f>IF(Table14[[#This Row],[Progress %]]="","",Table14[[#This Row],[Progress %]]*Table14[[#This Row],[Value £]])</f>
        <v/>
      </c>
      <c r="N65" s="460" t="n"/>
    </row>
    <row r="66" ht="65.15000000000001" customFormat="1" customHeight="1" s="452">
      <c r="B66" s="453" t="n"/>
      <c r="C66" s="454">
        <f>IF(Table14[[#This Row],[Description]]="","",C65+1)</f>
        <v/>
      </c>
      <c r="D66" s="455" t="n"/>
      <c r="E66" s="456" t="n"/>
      <c r="F66" s="457" t="n"/>
      <c r="G66" s="457" t="n"/>
      <c r="H66" s="457" t="n"/>
      <c r="I66" s="458" t="n"/>
      <c r="J66" s="459" t="n"/>
      <c r="K66" s="460" t="n"/>
      <c r="L66" s="461" t="n"/>
      <c r="M66" s="458">
        <f>IF(Table14[[#This Row],[Progress %]]="","",Table14[[#This Row],[Progress %]]*Table14[[#This Row],[Value £]])</f>
        <v/>
      </c>
      <c r="N66" s="460" t="n"/>
    </row>
    <row r="67" ht="65.15000000000001" customFormat="1" customHeight="1" s="452">
      <c r="B67" s="453" t="n"/>
      <c r="C67" s="454">
        <f>IF(Table14[[#This Row],[Description]]="","",C66+1)</f>
        <v/>
      </c>
      <c r="D67" s="455" t="n"/>
      <c r="E67" s="456" t="n"/>
      <c r="F67" s="457" t="n"/>
      <c r="G67" s="457" t="n"/>
      <c r="H67" s="457" t="n"/>
      <c r="I67" s="458" t="n"/>
      <c r="J67" s="459" t="n"/>
      <c r="K67" s="460" t="n"/>
      <c r="L67" s="461" t="n"/>
      <c r="M67" s="458">
        <f>IF(Table14[[#This Row],[Progress %]]="","",Table14[[#This Row],[Progress %]]*Table14[[#This Row],[Value £]])</f>
        <v/>
      </c>
      <c r="N67" s="460" t="n"/>
    </row>
    <row r="68" ht="65.15000000000001" customFormat="1" customHeight="1" s="452">
      <c r="B68" s="453" t="n"/>
      <c r="C68" s="454">
        <f>IF(Table14[[#This Row],[Description]]="","",C67+1)</f>
        <v/>
      </c>
      <c r="D68" s="455" t="n"/>
      <c r="E68" s="456" t="n"/>
      <c r="F68" s="457" t="n"/>
      <c r="G68" s="457" t="n"/>
      <c r="H68" s="457" t="n"/>
      <c r="I68" s="458" t="n"/>
      <c r="J68" s="459" t="n"/>
      <c r="K68" s="460" t="n"/>
      <c r="L68" s="461" t="n"/>
      <c r="M68" s="458">
        <f>IF(Table14[[#This Row],[Progress %]]="","",Table14[[#This Row],[Progress %]]*Table14[[#This Row],[Value £]])</f>
        <v/>
      </c>
      <c r="N68" s="460" t="n"/>
    </row>
    <row r="69" ht="65.15000000000001" customFormat="1" customHeight="1" s="452">
      <c r="B69" s="453" t="n"/>
      <c r="C69" s="454">
        <f>IF(Table14[[#This Row],[Description]]="","",C68+1)</f>
        <v/>
      </c>
      <c r="D69" s="455" t="n"/>
      <c r="E69" s="456" t="n"/>
      <c r="F69" s="457" t="n"/>
      <c r="G69" s="457" t="n"/>
      <c r="H69" s="457" t="n"/>
      <c r="I69" s="458" t="n"/>
      <c r="J69" s="459" t="n"/>
      <c r="K69" s="467" t="n"/>
      <c r="L69" s="468" t="n"/>
      <c r="M69" s="469">
        <f>IF(Table14[[#This Row],[Progress %]]="","",Table14[[#This Row],[Progress %]]*Table14[[#This Row],[Value £]])</f>
        <v/>
      </c>
      <c r="N69" s="460" t="n"/>
    </row>
    <row r="70" ht="65.15000000000001" customFormat="1" customHeight="1" s="452">
      <c r="B70" s="453" t="n"/>
      <c r="C70" s="454">
        <f>IF(Table14[[#This Row],[Description]]="","",C69+1)</f>
        <v/>
      </c>
      <c r="D70" s="455" t="n"/>
      <c r="E70" s="456" t="n"/>
      <c r="F70" s="457" t="n"/>
      <c r="G70" s="457" t="n"/>
      <c r="H70" s="457" t="n"/>
      <c r="I70" s="458" t="n"/>
      <c r="J70" s="459" t="n"/>
      <c r="K70" s="460" t="n"/>
      <c r="L70" s="461" t="n"/>
      <c r="M70" s="458">
        <f>IF(Table14[[#This Row],[Progress %]]="","",Table14[[#This Row],[Progress %]]*Table14[[#This Row],[Value £]])</f>
        <v/>
      </c>
      <c r="N70" s="460" t="n"/>
    </row>
    <row r="71" ht="65.15000000000001" customFormat="1" customHeight="1" s="452">
      <c r="B71" s="453" t="n"/>
      <c r="C71" s="454">
        <f>IF(Table14[[#This Row],[Description]]="","",C70+1)</f>
        <v/>
      </c>
      <c r="D71" s="455" t="n"/>
      <c r="E71" s="456" t="n"/>
      <c r="F71" s="457" t="n"/>
      <c r="G71" s="457" t="n"/>
      <c r="H71" s="457" t="n"/>
      <c r="I71" s="458" t="n"/>
      <c r="J71" s="459" t="n"/>
      <c r="K71" s="460" t="n"/>
      <c r="L71" s="461" t="n"/>
      <c r="M71" s="458">
        <f>IF(Table14[[#This Row],[Progress %]]="","",Table14[[#This Row],[Progress %]]*Table14[[#This Row],[Value £]])</f>
        <v/>
      </c>
      <c r="N71" s="460" t="n"/>
    </row>
    <row r="72" ht="65.15000000000001" customFormat="1" customHeight="1" s="452">
      <c r="B72" s="453" t="n"/>
      <c r="C72" s="454">
        <f>IF(Table14[[#This Row],[Description]]="","",C71+1)</f>
        <v/>
      </c>
      <c r="D72" s="455" t="n"/>
      <c r="E72" s="456" t="n"/>
      <c r="F72" s="457" t="n"/>
      <c r="G72" s="457" t="n"/>
      <c r="H72" s="457" t="n"/>
      <c r="I72" s="458" t="n"/>
      <c r="J72" s="459" t="n"/>
      <c r="K72" s="460" t="n"/>
      <c r="L72" s="461" t="n"/>
      <c r="M72" s="458">
        <f>IF(Table14[[#This Row],[Progress %]]="","",Table14[[#This Row],[Progress %]]*Table14[[#This Row],[Value £]])</f>
        <v/>
      </c>
      <c r="N72" s="460" t="n"/>
    </row>
    <row r="73" ht="65.15000000000001" customFormat="1" customHeight="1" s="452">
      <c r="B73" s="453" t="n"/>
      <c r="C73" s="454">
        <f>IF(Table14[[#This Row],[Description]]="","",C72+1)</f>
        <v/>
      </c>
      <c r="D73" s="455" t="n"/>
      <c r="E73" s="470" t="n"/>
      <c r="F73" s="457" t="n"/>
      <c r="G73" s="457" t="n"/>
      <c r="H73" s="457" t="n"/>
      <c r="I73" s="458" t="n"/>
      <c r="J73" s="459" t="n"/>
      <c r="K73" s="467" t="n"/>
      <c r="L73" s="468" t="n"/>
      <c r="M73" s="469">
        <f>IF(Table14[[#This Row],[Progress %]]="","",Table14[[#This Row],[Progress %]]*Table14[[#This Row],[Value £]])</f>
        <v/>
      </c>
      <c r="N73" s="460" t="n"/>
    </row>
    <row r="74" ht="65.15000000000001" customFormat="1" customHeight="1" s="452">
      <c r="B74" s="453" t="n"/>
      <c r="C74" s="454">
        <f>IF(Table14[[#This Row],[Description]]="","",C73+1)</f>
        <v/>
      </c>
      <c r="D74" s="455" t="n"/>
      <c r="E74" s="456" t="n"/>
      <c r="F74" s="457" t="n"/>
      <c r="G74" s="457" t="n"/>
      <c r="H74" s="457" t="n"/>
      <c r="I74" s="458" t="n"/>
      <c r="J74" s="459" t="n"/>
      <c r="K74" s="460" t="n"/>
      <c r="L74" s="461" t="n"/>
      <c r="M74" s="458">
        <f>IF(Table14[[#This Row],[Progress %]]="","",Table14[[#This Row],[Progress %]]*Table14[[#This Row],[Value £]])</f>
        <v/>
      </c>
      <c r="N74" s="460" t="n"/>
    </row>
    <row r="75" ht="65.15000000000001" customFormat="1" customHeight="1" s="452">
      <c r="B75" s="453" t="n"/>
      <c r="C75" s="454">
        <f>IF(Table14[[#This Row],[Description]]="","",C74+1)</f>
        <v/>
      </c>
      <c r="D75" s="455" t="n"/>
      <c r="E75" s="456" t="n"/>
      <c r="F75" s="457" t="n"/>
      <c r="G75" s="457" t="n"/>
      <c r="H75" s="457" t="n"/>
      <c r="I75" s="458" t="n"/>
      <c r="J75" s="459" t="n"/>
      <c r="K75" s="460" t="n"/>
      <c r="L75" s="461" t="n"/>
      <c r="M75" s="458">
        <f>IF(Table14[[#This Row],[Progress %]]="","",Table14[[#This Row],[Progress %]]*Table14[[#This Row],[Value £]])</f>
        <v/>
      </c>
      <c r="N75" s="460" t="n"/>
    </row>
    <row r="76" ht="65.15000000000001" customFormat="1" customHeight="1" s="452">
      <c r="B76" s="453" t="n"/>
      <c r="C76" s="454">
        <f>IF(Table14[[#This Row],[Description]]="","",C75+1)</f>
        <v/>
      </c>
      <c r="D76" s="455" t="n"/>
      <c r="E76" s="456" t="n"/>
      <c r="F76" s="457" t="n"/>
      <c r="G76" s="457" t="n"/>
      <c r="H76" s="457" t="n"/>
      <c r="I76" s="458" t="n"/>
      <c r="J76" s="459" t="n"/>
      <c r="K76" s="460" t="n"/>
      <c r="L76" s="461" t="n"/>
      <c r="M76" s="458">
        <f>IF(Table14[[#This Row],[Progress %]]="","",Table14[[#This Row],[Progress %]]*Table14[[#This Row],[Value £]])</f>
        <v/>
      </c>
      <c r="N76" s="460" t="n"/>
    </row>
    <row r="77" ht="65.15000000000001" customFormat="1" customHeight="1" s="452">
      <c r="B77" s="453" t="n"/>
      <c r="C77" s="454">
        <f>IF(Table14[[#This Row],[Description]]="","",C76+1)</f>
        <v/>
      </c>
      <c r="D77" s="455" t="n"/>
      <c r="E77" s="456" t="n"/>
      <c r="F77" s="457" t="n"/>
      <c r="G77" s="457" t="n"/>
      <c r="H77" s="457" t="n"/>
      <c r="I77" s="458" t="n"/>
      <c r="J77" s="459" t="n"/>
      <c r="K77" s="460" t="n"/>
      <c r="L77" s="461" t="n"/>
      <c r="M77" s="458">
        <f>IF(Table14[[#This Row],[Progress %]]="","",Table14[[#This Row],[Progress %]]*Table14[[#This Row],[Value £]])</f>
        <v/>
      </c>
      <c r="N77" s="460" t="n"/>
    </row>
    <row r="78" ht="65.15000000000001" customFormat="1" customHeight="1" s="452">
      <c r="B78" s="453" t="n"/>
      <c r="C78" s="454">
        <f>IF(Table14[[#This Row],[Description]]="","",C77+1)</f>
        <v/>
      </c>
      <c r="D78" s="455" t="n"/>
      <c r="E78" s="456" t="n"/>
      <c r="F78" s="457" t="n"/>
      <c r="G78" s="457" t="n"/>
      <c r="H78" s="457" t="n"/>
      <c r="I78" s="458" t="n"/>
      <c r="J78" s="459" t="n"/>
      <c r="K78" s="460" t="n"/>
      <c r="L78" s="461" t="n"/>
      <c r="M78" s="458">
        <f>IF(Table14[[#This Row],[Progress %]]="","",Table14[[#This Row],[Progress %]]*Table14[[#This Row],[Value £]])</f>
        <v/>
      </c>
      <c r="N78" s="460" t="n"/>
    </row>
    <row r="79" ht="65.15000000000001" customFormat="1" customHeight="1" s="452">
      <c r="B79" s="453" t="n"/>
      <c r="C79" s="454">
        <f>IF(Table14[[#This Row],[Description]]="","",C78+1)</f>
        <v/>
      </c>
      <c r="D79" s="455" t="n"/>
      <c r="E79" s="456" t="n"/>
      <c r="F79" s="457" t="n"/>
      <c r="G79" s="457" t="n"/>
      <c r="H79" s="457" t="n"/>
      <c r="I79" s="458" t="n"/>
      <c r="J79" s="459" t="n"/>
      <c r="K79" s="460" t="n"/>
      <c r="L79" s="461" t="n"/>
      <c r="M79" s="458">
        <f>IF(Table14[[#This Row],[Progress %]]="","",Table14[[#This Row],[Progress %]]*Table14[[#This Row],[Value £]])</f>
        <v/>
      </c>
      <c r="N79" s="460" t="n"/>
    </row>
    <row r="80" ht="65.15000000000001" customFormat="1" customHeight="1" s="452">
      <c r="B80" s="453" t="n"/>
      <c r="C80" s="454">
        <f>IF(Table14[[#This Row],[Description]]="","",C79+1)</f>
        <v/>
      </c>
      <c r="D80" s="455" t="n"/>
      <c r="E80" s="456" t="n"/>
      <c r="F80" s="457" t="n"/>
      <c r="G80" s="457" t="n"/>
      <c r="H80" s="457" t="n"/>
      <c r="I80" s="458" t="n"/>
      <c r="J80" s="459" t="n"/>
      <c r="K80" s="460" t="n"/>
      <c r="L80" s="461" t="n"/>
      <c r="M80" s="458">
        <f>IF(Table14[[#This Row],[Progress %]]="","",Table14[[#This Row],[Progress %]]*Table14[[#This Row],[Value £]])</f>
        <v/>
      </c>
      <c r="N80" s="460" t="n"/>
    </row>
    <row r="81" ht="65.15000000000001" customFormat="1" customHeight="1" s="452">
      <c r="B81" s="453" t="n"/>
      <c r="C81" s="454">
        <f>IF(Table14[[#This Row],[Description]]="","",C80+1)</f>
        <v/>
      </c>
      <c r="D81" s="455" t="n"/>
      <c r="E81" s="456" t="n"/>
      <c r="F81" s="457" t="n"/>
      <c r="G81" s="457" t="n"/>
      <c r="H81" s="457" t="n"/>
      <c r="I81" s="458" t="n"/>
      <c r="J81" s="459" t="n"/>
      <c r="K81" s="460" t="n"/>
      <c r="L81" s="461" t="n"/>
      <c r="M81" s="458">
        <f>IF(Table14[[#This Row],[Progress %]]="","",Table14[[#This Row],[Progress %]]*Table14[[#This Row],[Value £]])</f>
        <v/>
      </c>
      <c r="N81" s="460" t="n"/>
    </row>
    <row r="82" ht="65.15000000000001" customFormat="1" customHeight="1" s="452">
      <c r="B82" s="453" t="n"/>
      <c r="C82" s="454">
        <f>IF(Table14[[#This Row],[Description]]="","",C81+1)</f>
        <v/>
      </c>
      <c r="D82" s="455" t="n"/>
      <c r="E82" s="456" t="n"/>
      <c r="F82" s="457" t="n"/>
      <c r="G82" s="457" t="n"/>
      <c r="H82" s="457" t="n"/>
      <c r="I82" s="458" t="n"/>
      <c r="J82" s="459" t="n"/>
      <c r="K82" s="460" t="n"/>
      <c r="L82" s="461" t="n"/>
      <c r="M82" s="458">
        <f>IF(Table14[[#This Row],[Progress %]]="","",Table14[[#This Row],[Progress %]]*Table14[[#This Row],[Value £]])</f>
        <v/>
      </c>
      <c r="N82" s="460" t="n"/>
    </row>
    <row r="83" ht="65.15000000000001" customFormat="1" customHeight="1" s="452">
      <c r="B83" s="453" t="n"/>
      <c r="C83" s="454">
        <f>IF(Table14[[#This Row],[Description]]="","",C82+1)</f>
        <v/>
      </c>
      <c r="D83" s="455" t="n"/>
      <c r="E83" s="456" t="n"/>
      <c r="F83" s="457" t="n"/>
      <c r="G83" s="457" t="n"/>
      <c r="H83" s="457" t="n"/>
      <c r="I83" s="458" t="n"/>
      <c r="J83" s="459" t="n"/>
      <c r="K83" s="460" t="n"/>
      <c r="L83" s="461" t="n"/>
      <c r="M83" s="458">
        <f>IF(Table14[[#This Row],[Progress %]]="","",Table14[[#This Row],[Progress %]]*Table14[[#This Row],[Value £]])</f>
        <v/>
      </c>
      <c r="N83" s="460" t="n"/>
    </row>
    <row r="84" ht="65.15000000000001" customFormat="1" customHeight="1" s="452">
      <c r="B84" s="453" t="n"/>
      <c r="C84" s="454">
        <f>IF(Table14[[#This Row],[Description]]="","",C83+1)</f>
        <v/>
      </c>
      <c r="D84" s="455" t="n"/>
      <c r="E84" s="456" t="n"/>
      <c r="F84" s="457" t="n"/>
      <c r="G84" s="457" t="n"/>
      <c r="H84" s="457" t="n"/>
      <c r="I84" s="458" t="n"/>
      <c r="J84" s="459" t="n"/>
      <c r="K84" s="460" t="n"/>
      <c r="L84" s="461" t="n"/>
      <c r="M84" s="458">
        <f>IF(Table14[[#This Row],[Progress %]]="","",Table14[[#This Row],[Progress %]]*Table14[[#This Row],[Value £]])</f>
        <v/>
      </c>
      <c r="N84" s="460" t="n"/>
    </row>
    <row r="85" ht="65.15000000000001" customFormat="1" customHeight="1" s="452">
      <c r="B85" s="453" t="n"/>
      <c r="C85" s="454">
        <f>IF(Table14[[#This Row],[Description]]="","",C84+1)</f>
        <v/>
      </c>
      <c r="D85" s="455" t="n"/>
      <c r="E85" s="456" t="n"/>
      <c r="F85" s="457" t="n"/>
      <c r="G85" s="457" t="n"/>
      <c r="H85" s="457" t="n"/>
      <c r="I85" s="458" t="n"/>
      <c r="J85" s="459" t="n"/>
      <c r="K85" s="460" t="n"/>
      <c r="L85" s="461" t="n"/>
      <c r="M85" s="458">
        <f>IF(Table14[[#This Row],[Progress %]]="","",Table14[[#This Row],[Progress %]]*Table14[[#This Row],[Value £]])</f>
        <v/>
      </c>
      <c r="N85" s="460" t="n"/>
    </row>
    <row r="86" ht="65.15000000000001" customFormat="1" customHeight="1" s="452">
      <c r="B86" s="453" t="n"/>
      <c r="C86" s="454">
        <f>IF(Table14[[#This Row],[Description]]="","",C85+1)</f>
        <v/>
      </c>
      <c r="D86" s="455" t="n"/>
      <c r="E86" s="456" t="n"/>
      <c r="F86" s="457" t="n"/>
      <c r="G86" s="457" t="n"/>
      <c r="H86" s="457" t="n"/>
      <c r="I86" s="458" t="n"/>
      <c r="J86" s="459" t="n"/>
      <c r="K86" s="460" t="n"/>
      <c r="L86" s="461" t="n"/>
      <c r="M86" s="458">
        <f>IF(Table14[[#This Row],[Progress %]]="","",Table14[[#This Row],[Progress %]]*Table14[[#This Row],[Value £]])</f>
        <v/>
      </c>
      <c r="N86" s="460" t="n"/>
    </row>
    <row r="87" ht="65.15000000000001" customFormat="1" customHeight="1" s="452">
      <c r="B87" s="453" t="n"/>
      <c r="C87" s="454">
        <f>IF(Table14[[#This Row],[Description]]="","",C86+1)</f>
        <v/>
      </c>
      <c r="D87" s="455" t="n"/>
      <c r="E87" s="456" t="n"/>
      <c r="F87" s="457" t="n"/>
      <c r="G87" s="457" t="n"/>
      <c r="H87" s="457" t="n"/>
      <c r="I87" s="458" t="n"/>
      <c r="J87" s="459" t="n"/>
      <c r="K87" s="460" t="n"/>
      <c r="L87" s="461" t="n"/>
      <c r="M87" s="458">
        <f>IF(Table14[[#This Row],[Progress %]]="","",Table14[[#This Row],[Progress %]]*Table14[[#This Row],[Value £]])</f>
        <v/>
      </c>
      <c r="N87" s="460" t="n"/>
    </row>
    <row r="88" ht="65.15000000000001" customFormat="1" customHeight="1" s="452">
      <c r="B88" s="453" t="n"/>
      <c r="C88" s="454">
        <f>IF(Table14[[#This Row],[Description]]="","",C87+1)</f>
        <v/>
      </c>
      <c r="D88" s="455" t="n"/>
      <c r="E88" s="456" t="n"/>
      <c r="F88" s="457" t="n"/>
      <c r="G88" s="457" t="n"/>
      <c r="H88" s="457" t="n"/>
      <c r="I88" s="458" t="n"/>
      <c r="J88" s="459" t="n"/>
      <c r="K88" s="460" t="n"/>
      <c r="L88" s="461" t="n"/>
      <c r="M88" s="458">
        <f>IF(Table14[[#This Row],[Progress %]]="","",Table14[[#This Row],[Progress %]]*Table14[[#This Row],[Value £]])</f>
        <v/>
      </c>
      <c r="N88" s="460" t="n"/>
    </row>
    <row r="89" ht="65.15000000000001" customFormat="1" customHeight="1" s="452">
      <c r="B89" s="471" t="n"/>
      <c r="C89" s="472">
        <f>IF(Table14[[#This Row],[Description]]="","",C88+1)</f>
        <v/>
      </c>
      <c r="D89" s="473" t="n"/>
      <c r="E89" s="474" t="n"/>
      <c r="F89" s="475" t="n"/>
      <c r="G89" s="475" t="n"/>
      <c r="H89" s="475" t="n"/>
      <c r="I89" s="476" t="n"/>
      <c r="J89" s="477" t="n"/>
      <c r="K89" s="478" t="n"/>
      <c r="L89" s="479" t="n"/>
      <c r="M89" s="476">
        <f>IF(Table14[[#This Row],[Progress %]]="","",Table14[[#This Row],[Progress %]]*Table14[[#This Row],[Value £]])</f>
        <v/>
      </c>
      <c r="N89" s="460" t="n"/>
    </row>
  </sheetData>
  <mergeCells count="2">
    <mergeCell ref="I2:J2"/>
    <mergeCell ref="C10:D10"/>
  </mergeCells>
  <conditionalFormatting sqref="F13:H47 F48:G48 F49:H1048576">
    <cfRule type="cellIs" rank="0" priority="2" equalAverage="0" operator="equal" aboveAverage="0" dxfId="0" text="" percent="0" bottom="0">
      <formula>"tbc"</formula>
    </cfRule>
  </conditionalFormatting>
  <conditionalFormatting sqref="I14:I89">
    <cfRule type="cellIs" rank="0" priority="3" equalAverage="0" operator="equal" aboveAverage="0" dxfId="1" text="" percent="0" bottom="0">
      <formula>"Agreed"</formula>
    </cfRule>
  </conditionalFormatting>
  <conditionalFormatting sqref="F14:G19 F20:F21">
    <cfRule type="expression" rank="0" priority="4" equalAverage="0" aboveAverage="0" dxfId="2" text="" percent="0" bottom="0">
      <formula>$H14="Agreed"</formula>
    </cfRule>
  </conditionalFormatting>
  <dataValidations count="2">
    <dataValidation sqref="I14:I89" showDropDown="0" showInputMessage="1" showErrorMessage="1" allowBlank="1" type="list" operator="between">
      <formula1>"Agreed,To be Agreed"</formula1>
      <formula2>0</formula2>
    </dataValidation>
    <dataValidation sqref="G14:G89" showDropDown="0" showInputMessage="1" showErrorMessage="1" allowBlank="1" type="list" operator="between">
      <formula1>"Yes,No"</formula1>
      <formula2>0</formula2>
    </dataValidation>
  </dataValidations>
  <printOptions horizontalCentered="1" verticalCentered="0" headings="0" gridLines="0" gridLinesSet="1"/>
  <pageMargins left="0.708333333333333" right="0.708333333333333" top="0.595833333333333" bottom="0.747916666666667" header="0.511805555555555" footer="0.511805555555555"/>
  <pageSetup orientation="portrait" paperSize="8" scale="100" fitToHeight="0" fitToWidth="1" firstPageNumber="0" useFirstPageNumber="0" pageOrder="downThenOver" blackAndWhite="0" draft="0" horizontalDpi="300" verticalDpi="300" copies="1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Andrew Thompson</dc:creator>
  <dc:language xmlns:dc="http://purl.org/dc/elements/1.1/">en-IN</dc:language>
  <dcterms:created xmlns:dcterms="http://purl.org/dc/terms/" xmlns:xsi="http://www.w3.org/2001/XMLSchema-instance" xsi:type="dcterms:W3CDTF">2023-08-20T20:32:23Z</dcterms:created>
  <dcterms:modified xmlns:dcterms="http://purl.org/dc/terms/" xmlns:xsi="http://www.w3.org/2001/XMLSchema-instance" xsi:type="dcterms:W3CDTF">2024-11-15T09:00:22Z</dcterms:modified>
  <cp:revision>10</cp:revision>
  <cp:lastPrinted>2024-10-01T15:29:09Z</cp:lastPrinted>
</cp:coreProperties>
</file>

<file path=docProps/custom.xml><?xml version="1.0" encoding="utf-8"?>
<Properties xmlns="http://schemas.openxmlformats.org/officeDocument/2006/custom-properties">
  <property name="AppVersion" fmtid="{D5CDD505-2E9C-101B-9397-08002B2CF9AE}" pid="2">
    <vt:lpwstr xmlns:vt="http://schemas.openxmlformats.org/officeDocument/2006/docPropsVTypes">16.0300</vt:lpwstr>
  </property>
  <property name="DocSecurity" fmtid="{D5CDD505-2E9C-101B-9397-08002B2CF9AE}" pid="3">
    <vt:i4 xmlns:vt="http://schemas.openxmlformats.org/officeDocument/2006/docPropsVTypes">0</vt:i4>
  </property>
  <property name="HyperlinksChanged" fmtid="{D5CDD505-2E9C-101B-9397-08002B2CF9AE}" pid="4">
    <vt:bool xmlns:vt="http://schemas.openxmlformats.org/officeDocument/2006/docPropsVTypes">0</vt:bool>
  </property>
  <property name="LinksUpToDate" fmtid="{D5CDD505-2E9C-101B-9397-08002B2CF9AE}" pid="5">
    <vt:bool xmlns:vt="http://schemas.openxmlformats.org/officeDocument/2006/docPropsVTypes">0</vt:bool>
  </property>
  <property name="MSIP_Label_b6a19a3c-d4d4-4e32-a670-fc3de26ce321_ActionId" fmtid="{D5CDD505-2E9C-101B-9397-08002B2CF9AE}" pid="6">
    <vt:lpwstr xmlns:vt="http://schemas.openxmlformats.org/officeDocument/2006/docPropsVTypes">009cfd87-41ca-46dd-9184-54ce0f0fd08e</vt:lpwstr>
  </property>
  <property name="MSIP_Label_b6a19a3c-d4d4-4e32-a670-fc3de26ce321_ContentBits" fmtid="{D5CDD505-2E9C-101B-9397-08002B2CF9AE}" pid="7">
    <vt:lpwstr xmlns:vt="http://schemas.openxmlformats.org/officeDocument/2006/docPropsVTypes">2</vt:lpwstr>
  </property>
  <property name="MSIP_Label_b6a19a3c-d4d4-4e32-a670-fc3de26ce321_Enabled" fmtid="{D5CDD505-2E9C-101B-9397-08002B2CF9AE}" pid="8">
    <vt:lpwstr xmlns:vt="http://schemas.openxmlformats.org/officeDocument/2006/docPropsVTypes">true</vt:lpwstr>
  </property>
  <property name="MSIP_Label_b6a19a3c-d4d4-4e32-a670-fc3de26ce321_Method" fmtid="{D5CDD505-2E9C-101B-9397-08002B2CF9AE}" pid="9">
    <vt:lpwstr xmlns:vt="http://schemas.openxmlformats.org/officeDocument/2006/docPropsVTypes">Standard</vt:lpwstr>
  </property>
  <property name="MSIP_Label_b6a19a3c-d4d4-4e32-a670-fc3de26ce321_Name" fmtid="{D5CDD505-2E9C-101B-9397-08002B2CF9AE}" pid="10">
    <vt:lpwstr xmlns:vt="http://schemas.openxmlformats.org/officeDocument/2006/docPropsVTypes">Internal</vt:lpwstr>
  </property>
  <property name="MSIP_Label_b6a19a3c-d4d4-4e32-a670-fc3de26ce321_SetDate" fmtid="{D5CDD505-2E9C-101B-9397-08002B2CF9AE}" pid="11">
    <vt:lpwstr xmlns:vt="http://schemas.openxmlformats.org/officeDocument/2006/docPropsVTypes">2023-08-20T20:43:10Z</vt:lpwstr>
  </property>
  <property name="MSIP_Label_b6a19a3c-d4d4-4e32-a670-fc3de26ce321_SiteId" fmtid="{D5CDD505-2E9C-101B-9397-08002B2CF9AE}" pid="12">
    <vt:lpwstr xmlns:vt="http://schemas.openxmlformats.org/officeDocument/2006/docPropsVTypes">ef79b864-6cc8-4d57-9f7f-93c8ecca1fe7</vt:lpwstr>
  </property>
  <property name="ScaleCrop" fmtid="{D5CDD505-2E9C-101B-9397-08002B2CF9AE}" pid="13">
    <vt:bool xmlns:vt="http://schemas.openxmlformats.org/officeDocument/2006/docPropsVTypes">0</vt:bool>
  </property>
  <property name="ShareDoc" fmtid="{D5CDD505-2E9C-101B-9397-08002B2CF9AE}" pid="14">
    <vt:bool xmlns:vt="http://schemas.openxmlformats.org/officeDocument/2006/docPropsVTypes">0</vt:bool>
  </property>
</Properties>
</file>