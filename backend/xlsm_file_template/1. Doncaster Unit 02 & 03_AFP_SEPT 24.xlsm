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structsteelengineering-my.sharepoint.com/personal/andy_structsteeleng_co_uk/Documents/Live Projects/P24-1140_Doncaster Premier Park Unit 2&amp;3/4. Payment Applications/1. Sept 24/"/>
    </mc:Choice>
  </mc:AlternateContent>
  <xr:revisionPtr revIDLastSave="225" documentId="13_ncr:1_{7085EDD6-F21D-482B-9471-62ADE224BFFB}" xr6:coauthVersionLast="47" xr6:coauthVersionMax="47" xr10:uidLastSave="{3F5775E5-5668-47F5-B875-115B0CC493A5}"/>
  <bookViews>
    <workbookView xWindow="-28920" yWindow="5340" windowWidth="29040" windowHeight="15720" xr2:uid="{EBB5F65D-DE9A-48F6-B002-A3C5ED81A689}"/>
  </bookViews>
  <sheets>
    <sheet name="AFP Summary" sheetId="13" r:id="rId1"/>
    <sheet name="BoQ_Summary" sheetId="15" r:id="rId2"/>
    <sheet name="BoQ_Detailed " sheetId="16" r:id="rId3"/>
    <sheet name="Variation Register" sheetId="18" r:id="rId4"/>
  </sheets>
  <externalReferences>
    <externalReference r:id="rId5"/>
    <externalReference r:id="rId6"/>
    <externalReference r:id="rId7"/>
    <externalReference r:id="rId8"/>
    <externalReference r:id="rId9"/>
  </externalReferences>
  <definedNames>
    <definedName name="Description">'[1]Daywork Rates'!$B:$B</definedName>
    <definedName name="LabourList1">'[2]Daywork Rates'!$B:$B</definedName>
    <definedName name="PlantList">'[1]Daywork Rates'!$G:$G</definedName>
    <definedName name="PlantList1">'[2]Daywork Rates'!$G:$G</definedName>
    <definedName name="_xlnm.Print_Area" localSheetId="0">'AFP Summary'!$A$1:$J$39</definedName>
    <definedName name="_xlnm.Print_Area" localSheetId="2">Table18[#All]</definedName>
    <definedName name="_xlnm.Print_Area" localSheetId="1">BoQ_Summary!$A$1:$K$10</definedName>
    <definedName name="_xlnm.Print_Area" localSheetId="3">'Variation Register'!$A$1:$O$90</definedName>
    <definedName name="_xlnm.Print_Titles" localSheetId="3">'Variation Register'!$1:$13</definedName>
  </definedNames>
  <calcPr calcId="191028"/>
  <pivotCaches>
    <pivotCache cacheId="1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" i="13" l="1"/>
  <c r="G15" i="13"/>
  <c r="E16" i="13"/>
  <c r="E15" i="13"/>
  <c r="I6" i="15"/>
  <c r="I7" i="15"/>
  <c r="I5" i="15"/>
  <c r="G6" i="15"/>
  <c r="G7" i="15"/>
  <c r="F7" i="15" s="1"/>
  <c r="G8" i="15"/>
  <c r="F8" i="15" s="1"/>
  <c r="G5" i="15"/>
  <c r="D6" i="15"/>
  <c r="D7" i="15"/>
  <c r="D8" i="15"/>
  <c r="D5" i="15"/>
  <c r="K38" i="16"/>
  <c r="K37" i="16"/>
  <c r="C16" i="13"/>
  <c r="C15" i="13"/>
  <c r="K9" i="18"/>
  <c r="K3" i="18"/>
  <c r="K2" i="18"/>
  <c r="O11" i="16"/>
  <c r="O7" i="16"/>
  <c r="F16" i="13" l="1"/>
  <c r="F5" i="15" l="1"/>
  <c r="F6" i="15"/>
  <c r="M15" i="18" l="1"/>
  <c r="M14" i="18" l="1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H45" i="18" s="1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K11" i="18"/>
  <c r="K10" i="18"/>
  <c r="K5" i="18"/>
  <c r="K4" i="18"/>
  <c r="E17" i="13" s="1"/>
  <c r="E24" i="13" l="1"/>
  <c r="G17" i="13"/>
  <c r="K8" i="18"/>
  <c r="K7" i="18"/>
  <c r="K6" i="18"/>
  <c r="B15" i="13" l="1"/>
  <c r="H12" i="13"/>
  <c r="B21" i="13"/>
  <c r="B22" i="13"/>
  <c r="B23" i="13"/>
  <c r="B16" i="13" l="1"/>
  <c r="B17" i="13" s="1"/>
  <c r="B18" i="13" s="1"/>
  <c r="B19" i="13" s="1"/>
  <c r="B20" i="13" s="1"/>
  <c r="G9" i="15" l="1"/>
  <c r="I9" i="15" l="1"/>
  <c r="H9" i="15" s="1"/>
  <c r="F15" i="13"/>
  <c r="G24" i="13"/>
  <c r="H27" i="13" s="1"/>
  <c r="H26" i="13" l="1"/>
  <c r="H28" i="13"/>
  <c r="H30" i="13" s="1"/>
</calcChain>
</file>

<file path=xl/sharedStrings.xml><?xml version="1.0" encoding="utf-8"?>
<sst xmlns="http://schemas.openxmlformats.org/spreadsheetml/2006/main" count="316" uniqueCount="118">
  <si>
    <t>Application For Payment</t>
  </si>
  <si>
    <t xml:space="preserve">Struct Steel Engineering Ltd. </t>
  </si>
  <si>
    <t xml:space="preserve">38 Farnamullan Road, Faughard, Enniskillen, United </t>
  </si>
  <si>
    <t>+44 28 6638 7001</t>
  </si>
  <si>
    <t>structsteeleng.co.uk</t>
  </si>
  <si>
    <t>Client</t>
  </si>
  <si>
    <t>Project:</t>
  </si>
  <si>
    <t>Application Number:</t>
  </si>
  <si>
    <t>For Works Complete to:</t>
  </si>
  <si>
    <t>Application Date:</t>
  </si>
  <si>
    <t>Payment Date:</t>
  </si>
  <si>
    <t>Ref</t>
  </si>
  <si>
    <t>Category</t>
  </si>
  <si>
    <t>Zone</t>
  </si>
  <si>
    <t>Account Total</t>
  </si>
  <si>
    <t>% Progress</t>
  </si>
  <si>
    <t>Interim Payment</t>
  </si>
  <si>
    <t>Comment</t>
  </si>
  <si>
    <t>Progress Total</t>
  </si>
  <si>
    <t>Nett Payment Due</t>
  </si>
  <si>
    <t xml:space="preserve"> </t>
  </si>
  <si>
    <t>Client Ref</t>
  </si>
  <si>
    <t>Description</t>
  </si>
  <si>
    <t xml:space="preserve">Submission </t>
  </si>
  <si>
    <t>Date Agreed</t>
  </si>
  <si>
    <t>Overall Progress</t>
  </si>
  <si>
    <t>Retention</t>
  </si>
  <si>
    <t>Nett Certified To Date</t>
  </si>
  <si>
    <t>Cat</t>
  </si>
  <si>
    <t>QTY</t>
  </si>
  <si>
    <t>UNIT</t>
  </si>
  <si>
    <t>RATE</t>
  </si>
  <si>
    <t>TOTAL</t>
  </si>
  <si>
    <t>Progress %</t>
  </si>
  <si>
    <t>Progress £</t>
  </si>
  <si>
    <t xml:space="preserve">Ref </t>
  </si>
  <si>
    <t>Item</t>
  </si>
  <si>
    <t>Type</t>
  </si>
  <si>
    <t>Pcs</t>
  </si>
  <si>
    <t>Unit</t>
  </si>
  <si>
    <t xml:space="preserve">Rate </t>
  </si>
  <si>
    <t xml:space="preserve">Total </t>
  </si>
  <si>
    <t>stanchions; member profile not exceeding 25kg/m</t>
  </si>
  <si>
    <t>beams; member profile 25 - 50kg/m</t>
  </si>
  <si>
    <t>beams; member profile 50 - 100kg/m</t>
  </si>
  <si>
    <t>stanchions; member profile 25 - 50kg/m</t>
  </si>
  <si>
    <t>Variation Register</t>
  </si>
  <si>
    <t>Notes</t>
  </si>
  <si>
    <t>Variation Account Total</t>
  </si>
  <si>
    <t xml:space="preserve">Agreed Value </t>
  </si>
  <si>
    <t>To be Agreed</t>
  </si>
  <si>
    <t>Agreed %</t>
  </si>
  <si>
    <t>No. of Variations</t>
  </si>
  <si>
    <t>No. of Variations Agreed</t>
  </si>
  <si>
    <t>Variations to be Priced</t>
  </si>
  <si>
    <t xml:space="preserve"> VO</t>
  </si>
  <si>
    <t>Value £</t>
  </si>
  <si>
    <t xml:space="preserve">Dayworks  </t>
  </si>
  <si>
    <t>Daywork Total</t>
  </si>
  <si>
    <t>Status</t>
  </si>
  <si>
    <t>Agreed</t>
  </si>
  <si>
    <t>Galv</t>
  </si>
  <si>
    <t>Progress Notes</t>
  </si>
  <si>
    <t xml:space="preserve">Progress Total </t>
  </si>
  <si>
    <t>Variations</t>
  </si>
  <si>
    <t>TBC</t>
  </si>
  <si>
    <t>In line with S/C % Complete</t>
  </si>
  <si>
    <t>Doncaster Unit 02 &amp; 03</t>
  </si>
  <si>
    <t>Fit Out (UK) Ltd</t>
  </si>
  <si>
    <t>27 Abbey Rd, London</t>
  </si>
  <si>
    <t xml:space="preserve"> NW10 7SJ, United Kingdom</t>
  </si>
  <si>
    <t>BOQ Summary</t>
  </si>
  <si>
    <t>Steelwork Supply &amp; Install</t>
  </si>
  <si>
    <t>CHS139.7*5.0</t>
  </si>
  <si>
    <t>Steel</t>
  </si>
  <si>
    <t>Beam</t>
  </si>
  <si>
    <t>Unit 2</t>
  </si>
  <si>
    <t>tonne</t>
  </si>
  <si>
    <t>PFC-200*90*30</t>
  </si>
  <si>
    <t>SHS140*140*5.0</t>
  </si>
  <si>
    <t>SHS160*160*6.3</t>
  </si>
  <si>
    <t>SHS200*200*8.0</t>
  </si>
  <si>
    <t>UB203*133*25</t>
  </si>
  <si>
    <t>UB457*152*52</t>
  </si>
  <si>
    <t>CHS114.3*5.0</t>
  </si>
  <si>
    <t>Bracing</t>
  </si>
  <si>
    <t>CHS168.3*5.0</t>
  </si>
  <si>
    <t>Column</t>
  </si>
  <si>
    <t>UB356*171*45</t>
  </si>
  <si>
    <t>UB457*152*67</t>
  </si>
  <si>
    <t>UB356*127*33</t>
  </si>
  <si>
    <t>Purlin</t>
  </si>
  <si>
    <t>Unit 3</t>
  </si>
  <si>
    <t>PFC-200*75*23</t>
  </si>
  <si>
    <t>SHS160*160*5.0</t>
  </si>
  <si>
    <t>UB305*165*46</t>
  </si>
  <si>
    <t>UB533*210*82</t>
  </si>
  <si>
    <t>SHS300*300*16.0</t>
  </si>
  <si>
    <t>UB686*254*125</t>
  </si>
  <si>
    <t>Door Frame</t>
  </si>
  <si>
    <t>Fittings</t>
  </si>
  <si>
    <t/>
  </si>
  <si>
    <t>Cold Rolled Supply &amp; Install</t>
  </si>
  <si>
    <t>202 C 18</t>
  </si>
  <si>
    <t>Cold Rolled</t>
  </si>
  <si>
    <t>m</t>
  </si>
  <si>
    <t>232 Z 16</t>
  </si>
  <si>
    <t>232 Z 23</t>
  </si>
  <si>
    <t>232 Z 18</t>
  </si>
  <si>
    <t>Total:</t>
  </si>
  <si>
    <t>ACW</t>
  </si>
  <si>
    <t>tn</t>
  </si>
  <si>
    <t xml:space="preserve">Intumescent Paint Off Site Application </t>
  </si>
  <si>
    <t xml:space="preserve">Adds &amp; Omits ; Tender Vs Construction </t>
  </si>
  <si>
    <t>Row Labels</t>
  </si>
  <si>
    <t>Grand Total</t>
  </si>
  <si>
    <t>Sum of QTY</t>
  </si>
  <si>
    <t xml:space="preserve">NEW STEELWOIRK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</si>
</sst>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-&quot;£&quot;* #,##0.00_-;\-&quot;£&quot;* #,##0.00_-;_-&quot;£&quot;* &quot;-&quot;??_-;_-@_-"/>
    <numFmt numFmtId="164" formatCode="[$€-2]\ #,##0.00"/>
    <numFmt numFmtId="165" formatCode="0\ &quot;no.&quot;"/>
    <numFmt numFmtId="166" formatCode="[$-F800]dddd\,\ mmmm\ dd\,\ yyyy"/>
    <numFmt numFmtId="167" formatCode="&quot;£&quot;#,##0.00"/>
    <numFmt numFmtId="168" formatCode="&quot;00&quot;0"/>
    <numFmt numFmtId="169" formatCode="0.000\ &quot;tn&quot;"/>
    <numFmt numFmtId="170" formatCode="00000\-0000"/>
    <numFmt numFmtId="171" formatCode="0.000"/>
    <numFmt numFmtId="172" formatCode="0\ &quot;kg&quot;"/>
    <numFmt numFmtId="173" formatCode="&quot;SI&quot;\ 0"/>
    <numFmt numFmtId="174" formatCode="&quot;SI 0&quot;0"/>
    <numFmt numFmtId="175" formatCode="_-&quot;£&quot;* #,##0_-;\-&quot;£&quot;* #,##0_-;_-&quot;£&quot;* &quot;-&quot;??_-;_-@_-"/>
    <numFmt numFmtId="176" formatCode="&quot;£&quot;#,##0"/>
    <numFmt numFmtId="177" formatCode="0.0%"/>
    <numFmt numFmtId="178" formatCode="0\ &quot;KG&quot;"/>
  </numFmts>
  <fonts count="7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18"/>
      <color theme="1"/>
      <name val="Arial"/>
      <family val="2"/>
    </font>
    <font>
      <b/>
      <sz val="22"/>
      <color theme="1"/>
      <name val="Arial"/>
      <family val="2"/>
    </font>
    <font>
      <sz val="10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26"/>
      <color rgb="FFE32827"/>
      <name val="Arial Nova"/>
      <family val="2"/>
    </font>
    <font>
      <sz val="28"/>
      <color rgb="FFE32827"/>
      <name val="Arial Nova"/>
      <family val="2"/>
    </font>
    <font>
      <sz val="28"/>
      <color theme="1"/>
      <name val="Arial Nova"/>
      <family val="2"/>
    </font>
    <font>
      <sz val="18"/>
      <color rgb="FF8D8E8E"/>
      <name val="Arial Nova"/>
      <family val="2"/>
    </font>
    <font>
      <sz val="16"/>
      <color theme="1"/>
      <name val="Arial Nova"/>
      <family val="2"/>
    </font>
    <font>
      <sz val="12"/>
      <color rgb="FF262628"/>
      <name val="Arial Nova"/>
      <family val="2"/>
    </font>
    <font>
      <sz val="11"/>
      <color rgb="FF262628"/>
      <name val="Arial Nova"/>
      <family val="2"/>
    </font>
    <font>
      <sz val="11"/>
      <color rgb="FFE32827"/>
      <name val="Arial Nova"/>
      <family val="2"/>
    </font>
    <font>
      <sz val="10"/>
      <color theme="4" tint="-0.499984740745262"/>
      <name val="Arial Nova"/>
      <family val="2"/>
    </font>
    <font>
      <sz val="11"/>
      <color rgb="FF065A98"/>
      <name val="Arial Nova"/>
      <family val="2"/>
    </font>
    <font>
      <sz val="10"/>
      <color theme="1"/>
      <name val="Arial Nova"/>
      <family val="2"/>
    </font>
    <font>
      <b/>
      <sz val="11"/>
      <color theme="0"/>
      <name val="Arial Nova"/>
      <family val="2"/>
    </font>
    <font>
      <sz val="10"/>
      <color theme="1" tint="4.9989318521683403E-2"/>
      <name val="Arial Nova"/>
      <family val="2"/>
    </font>
    <font>
      <sz val="11"/>
      <color theme="1" tint="4.9989318521683403E-2"/>
      <name val="Arial Nova"/>
      <family val="2"/>
    </font>
    <font>
      <sz val="9"/>
      <color theme="1" tint="4.9989318521683403E-2"/>
      <name val="Arial Nova"/>
      <family val="2"/>
    </font>
    <font>
      <sz val="9"/>
      <color theme="4" tint="-0.499984740745262"/>
      <name val="Arial Nova"/>
      <family val="2"/>
    </font>
    <font>
      <b/>
      <sz val="10"/>
      <color theme="4" tint="-0.499984740745262"/>
      <name val="Arial Nova"/>
      <family val="2"/>
    </font>
    <font>
      <sz val="13"/>
      <color theme="0"/>
      <name val="Arial Nova"/>
      <family val="2"/>
    </font>
    <font>
      <sz val="14"/>
      <color theme="0"/>
      <name val="Arial Nova"/>
      <family val="2"/>
    </font>
    <font>
      <sz val="12"/>
      <color theme="1"/>
      <name val="Arial Nova"/>
      <family val="2"/>
    </font>
    <font>
      <sz val="10"/>
      <color rgb="FF262628"/>
      <name val="Arial Nova"/>
      <family val="2"/>
    </font>
    <font>
      <b/>
      <sz val="10"/>
      <color theme="1" tint="4.9989318521683403E-2"/>
      <name val="Arial Nova"/>
      <family val="2"/>
    </font>
    <font>
      <b/>
      <sz val="11"/>
      <color rgb="FF262628"/>
      <name val="Arial Nova"/>
      <family val="2"/>
    </font>
    <font>
      <b/>
      <sz val="10"/>
      <color rgb="FF030303"/>
      <name val="Arial Narrow"/>
      <family val="2"/>
    </font>
    <font>
      <b/>
      <sz val="12"/>
      <color theme="1"/>
      <name val="Arial Nova"/>
      <family val="2"/>
    </font>
    <font>
      <sz val="10"/>
      <name val="Arial Narrow"/>
      <family val="2"/>
    </font>
    <font>
      <sz val="10"/>
      <color rgb="FF030303"/>
      <name val="Arial Narrow"/>
      <family val="2"/>
    </font>
    <font>
      <b/>
      <sz val="10"/>
      <color theme="1"/>
      <name val="Arial Narrow"/>
      <family val="2"/>
    </font>
    <font>
      <b/>
      <sz val="11"/>
      <color theme="1"/>
      <name val="Arial Narrow"/>
      <family val="2"/>
    </font>
    <font>
      <sz val="8"/>
      <name val="Calibri"/>
      <family val="2"/>
      <scheme val="minor"/>
    </font>
    <font>
      <sz val="16"/>
      <color theme="1"/>
      <name val="Ariasl"/>
    </font>
    <font>
      <sz val="11"/>
      <color theme="1"/>
      <name val="Ariasl"/>
    </font>
    <font>
      <i/>
      <sz val="26"/>
      <color theme="1"/>
      <name val="Ariasl"/>
    </font>
    <font>
      <b/>
      <sz val="11"/>
      <color theme="1"/>
      <name val="Ariasl"/>
    </font>
    <font>
      <sz val="24"/>
      <color theme="1"/>
      <name val="Arial Narrow"/>
      <family val="2"/>
    </font>
    <font>
      <sz val="24"/>
      <color rgb="FFFF0000"/>
      <name val="Arial Narrow"/>
      <family val="2"/>
    </font>
    <font>
      <b/>
      <sz val="10"/>
      <color theme="0"/>
      <name val="Arial Narrow"/>
      <family val="2"/>
    </font>
    <font>
      <b/>
      <sz val="22"/>
      <color theme="0"/>
      <name val="Arial Nova"/>
      <family val="2"/>
    </font>
    <font>
      <b/>
      <sz val="22"/>
      <color theme="0"/>
      <name val="Arial"/>
      <family val="2"/>
    </font>
    <font>
      <sz val="20"/>
      <color rgb="FF262628"/>
      <name val="Arial Nova"/>
      <family val="2"/>
    </font>
    <font>
      <b/>
      <sz val="22"/>
      <color rgb="FF065A98"/>
      <name val="Arial Nova"/>
      <family val="2"/>
    </font>
    <font>
      <sz val="22"/>
      <color theme="1"/>
      <name val="Arial Nova"/>
      <family val="2"/>
    </font>
    <font>
      <b/>
      <sz val="48"/>
      <color rgb="FF394AA9"/>
      <name val="Arial"/>
      <family val="2"/>
    </font>
    <font>
      <b/>
      <sz val="48"/>
      <color theme="1"/>
      <name val="Arial"/>
      <family val="2"/>
    </font>
    <font>
      <sz val="22"/>
      <color rgb="FF8D8E8E"/>
      <name val="Arial Nova"/>
      <family val="2"/>
    </font>
    <font>
      <sz val="16"/>
      <color theme="1"/>
      <name val="Arial"/>
      <family val="2"/>
    </font>
    <font>
      <sz val="22"/>
      <color rgb="FF262628"/>
      <name val="Arial Nova"/>
      <family val="2"/>
    </font>
    <font>
      <sz val="22"/>
      <color theme="0"/>
      <name val="Arial Nova"/>
      <family val="2"/>
    </font>
    <font>
      <sz val="24"/>
      <name val="Arial Narrow"/>
      <family val="2"/>
    </font>
    <font>
      <i/>
      <sz val="24"/>
      <color rgb="FFFF0000"/>
      <name val="Arial Narrow"/>
      <family val="2"/>
    </font>
    <font>
      <b/>
      <sz val="10"/>
      <color theme="1"/>
      <name val="Arial Nova"/>
      <family val="2"/>
    </font>
    <font>
      <b/>
      <sz val="11"/>
      <color theme="1"/>
      <name val="Arial Nova"/>
      <family val="2"/>
    </font>
    <font>
      <b/>
      <sz val="9"/>
      <color theme="1"/>
      <name val="Arial Nova"/>
      <family val="2"/>
    </font>
    <font>
      <b/>
      <i/>
      <sz val="26"/>
      <color theme="1"/>
      <name val="Ariasl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65A9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E32827"/>
        <bgColor indexed="64"/>
      </patternFill>
    </fill>
    <fill>
      <patternFill patternType="solid">
        <fgColor rgb="FF8D8E8E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rgb="FF8D8E8E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medium">
        <color rgb="FFFF0000"/>
      </bottom>
      <diagonal/>
    </border>
    <border>
      <left/>
      <right/>
      <top style="medium">
        <color rgb="FF8D8E8E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medium">
        <color rgb="FF8D8E8E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2" tint="-0.89992980742820516"/>
      </left>
      <right style="thin">
        <color theme="2" tint="-0.89996032593768116"/>
      </right>
      <top style="thin">
        <color theme="2" tint="-0.89992980742820516"/>
      </top>
      <bottom style="thin">
        <color theme="2" tint="-0.89992980742820516"/>
      </bottom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2980742820516"/>
      </top>
      <bottom style="thin">
        <color theme="2" tint="-0.89992980742820516"/>
      </bottom>
      <diagonal/>
    </border>
    <border>
      <left style="thin">
        <color theme="2" tint="-0.89996032593768116"/>
      </left>
      <right style="thin">
        <color theme="2" tint="-0.89992980742820516"/>
      </right>
      <top style="thin">
        <color theme="2" tint="-0.89992980742820516"/>
      </top>
      <bottom style="thin">
        <color theme="2" tint="-0.89992980742820516"/>
      </bottom>
      <diagonal/>
    </border>
    <border>
      <left/>
      <right style="thin">
        <color theme="2" tint="-0.89996032593768116"/>
      </right>
      <top/>
      <bottom/>
      <diagonal/>
    </border>
    <border>
      <left style="thin">
        <color theme="2" tint="-0.89996032593768116"/>
      </left>
      <right/>
      <top/>
      <bottom/>
      <diagonal/>
    </border>
    <border>
      <left style="thin">
        <color theme="2" tint="-0.89996032593768116"/>
      </left>
      <right style="thin">
        <color theme="2" tint="-0.89996032593768116"/>
      </right>
      <top/>
      <bottom/>
      <diagonal/>
    </border>
    <border>
      <left/>
      <right/>
      <top style="medium">
        <color theme="0" tint="-0.49998474074526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medium">
        <color theme="0" tint="-0.499984740745262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8">
    <xf numFmtId="0" fontId="0" fillId="0" borderId="0" xfId="0"/>
    <xf numFmtId="0" fontId="18" fillId="0" borderId="0" xfId="0" applyFont="1" applyAlignment="1">
      <alignment horizontal="center"/>
    </xf>
    <xf numFmtId="0" fontId="18" fillId="0" borderId="0" xfId="0" applyFont="1"/>
    <xf numFmtId="167" fontId="18" fillId="0" borderId="0" xfId="0" applyNumberFormat="1" applyFont="1" applyAlignment="1">
      <alignment horizontal="center" vertical="center"/>
    </xf>
    <xf numFmtId="166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166" fontId="33" fillId="0" borderId="0" xfId="0" applyNumberFormat="1" applyFont="1" applyAlignment="1">
      <alignment horizontal="right" vertical="center"/>
    </xf>
    <xf numFmtId="0" fontId="34" fillId="0" borderId="0" xfId="0" applyFont="1" applyAlignment="1">
      <alignment vertical="center"/>
    </xf>
    <xf numFmtId="168" fontId="33" fillId="0" borderId="0" xfId="0" quotePrefix="1" applyNumberFormat="1" applyFont="1" applyAlignment="1">
      <alignment horizontal="right" vertical="center"/>
    </xf>
    <xf numFmtId="0" fontId="32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2" fillId="34" borderId="0" xfId="0" applyFont="1" applyFill="1" applyAlignment="1">
      <alignment vertical="center"/>
    </xf>
    <xf numFmtId="0" fontId="35" fillId="38" borderId="0" xfId="0" applyFont="1" applyFill="1" applyAlignment="1">
      <alignment horizontal="center" vertical="center"/>
    </xf>
    <xf numFmtId="0" fontId="35" fillId="38" borderId="0" xfId="0" applyFont="1" applyFill="1" applyAlignment="1">
      <alignment horizontal="left" vertical="center"/>
    </xf>
    <xf numFmtId="9" fontId="35" fillId="38" borderId="0" xfId="1" applyFont="1" applyFill="1" applyBorder="1" applyAlignment="1">
      <alignment horizontal="center" vertical="center"/>
    </xf>
    <xf numFmtId="0" fontId="32" fillId="36" borderId="0" xfId="0" applyFont="1" applyFill="1" applyAlignment="1">
      <alignment horizontal="left" vertical="center"/>
    </xf>
    <xf numFmtId="165" fontId="32" fillId="36" borderId="0" xfId="0" applyNumberFormat="1" applyFont="1" applyFill="1" applyAlignment="1">
      <alignment horizontal="left" vertical="center"/>
    </xf>
    <xf numFmtId="9" fontId="32" fillId="36" borderId="10" xfId="1" applyFont="1" applyFill="1" applyBorder="1" applyAlignment="1">
      <alignment horizontal="center" vertical="center"/>
    </xf>
    <xf numFmtId="164" fontId="32" fillId="36" borderId="10" xfId="0" applyNumberFormat="1" applyFont="1" applyFill="1" applyBorder="1" applyAlignment="1">
      <alignment horizontal="center" vertical="center"/>
    </xf>
    <xf numFmtId="164" fontId="39" fillId="0" borderId="0" xfId="0" applyNumberFormat="1" applyFont="1" applyAlignment="1">
      <alignment horizontal="left" vertical="center"/>
    </xf>
    <xf numFmtId="0" fontId="40" fillId="0" borderId="0" xfId="0" applyFont="1" applyAlignment="1">
      <alignment vertical="center"/>
    </xf>
    <xf numFmtId="0" fontId="40" fillId="0" borderId="0" xfId="0" applyFont="1" applyAlignment="1">
      <alignment horizontal="left" vertical="center"/>
    </xf>
    <xf numFmtId="9" fontId="34" fillId="0" borderId="0" xfId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9" fontId="34" fillId="0" borderId="0" xfId="1" applyFont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7" fillId="35" borderId="12" xfId="0" applyFont="1" applyFill="1" applyBorder="1" applyAlignment="1">
      <alignment horizontal="left" vertical="center"/>
    </xf>
    <xf numFmtId="9" fontId="37" fillId="35" borderId="12" xfId="1" applyFont="1" applyFill="1" applyBorder="1" applyAlignment="1">
      <alignment horizontal="center" vertical="center"/>
    </xf>
    <xf numFmtId="0" fontId="37" fillId="0" borderId="13" xfId="0" applyFont="1" applyBorder="1" applyAlignment="1">
      <alignment horizontal="left" vertical="center" wrapText="1"/>
    </xf>
    <xf numFmtId="0" fontId="37" fillId="0" borderId="13" xfId="0" applyFont="1" applyBorder="1" applyAlignment="1">
      <alignment horizontal="left" vertical="center"/>
    </xf>
    <xf numFmtId="0" fontId="37" fillId="36" borderId="13" xfId="0" applyFont="1" applyFill="1" applyBorder="1" applyAlignment="1">
      <alignment horizontal="left" vertical="center" wrapText="1"/>
    </xf>
    <xf numFmtId="0" fontId="37" fillId="36" borderId="13" xfId="0" applyFont="1" applyFill="1" applyBorder="1" applyAlignment="1">
      <alignment horizontal="left" vertical="center"/>
    </xf>
    <xf numFmtId="0" fontId="37" fillId="36" borderId="14" xfId="0" applyFont="1" applyFill="1" applyBorder="1" applyAlignment="1">
      <alignment horizontal="left" vertical="center"/>
    </xf>
    <xf numFmtId="0" fontId="30" fillId="0" borderId="15" xfId="0" applyFont="1" applyBorder="1" applyAlignment="1">
      <alignment horizontal="left" vertical="center" indent="1"/>
    </xf>
    <xf numFmtId="0" fontId="30" fillId="0" borderId="13" xfId="0" applyFont="1" applyBorder="1" applyAlignment="1">
      <alignment horizontal="left" vertical="center" indent="1"/>
    </xf>
    <xf numFmtId="0" fontId="30" fillId="0" borderId="16" xfId="0" applyFont="1" applyBorder="1" applyAlignment="1">
      <alignment horizontal="left" vertical="center" indent="1"/>
    </xf>
    <xf numFmtId="44" fontId="28" fillId="0" borderId="0" xfId="0" applyNumberFormat="1" applyFont="1" applyAlignment="1">
      <alignment horizontal="left" vertical="center"/>
    </xf>
    <xf numFmtId="44" fontId="32" fillId="0" borderId="0" xfId="0" applyNumberFormat="1" applyFont="1" applyAlignment="1">
      <alignment horizontal="center" vertical="center"/>
    </xf>
    <xf numFmtId="44" fontId="32" fillId="0" borderId="0" xfId="0" applyNumberFormat="1" applyFont="1" applyAlignment="1">
      <alignment horizontal="left" vertical="center"/>
    </xf>
    <xf numFmtId="44" fontId="35" fillId="38" borderId="0" xfId="0" applyNumberFormat="1" applyFont="1" applyFill="1" applyAlignment="1">
      <alignment horizontal="left" vertical="center"/>
    </xf>
    <xf numFmtId="44" fontId="37" fillId="35" borderId="12" xfId="0" applyNumberFormat="1" applyFont="1" applyFill="1" applyBorder="1" applyAlignment="1">
      <alignment horizontal="left" vertical="center"/>
    </xf>
    <xf numFmtId="44" fontId="37" fillId="36" borderId="14" xfId="0" applyNumberFormat="1" applyFont="1" applyFill="1" applyBorder="1" applyAlignment="1">
      <alignment horizontal="left" vertical="center"/>
    </xf>
    <xf numFmtId="44" fontId="32" fillId="36" borderId="0" xfId="0" applyNumberFormat="1" applyFont="1" applyFill="1" applyAlignment="1">
      <alignment horizontal="right" vertical="center"/>
    </xf>
    <xf numFmtId="44" fontId="39" fillId="0" borderId="0" xfId="0" applyNumberFormat="1" applyFont="1" applyAlignment="1">
      <alignment horizontal="center" vertical="center"/>
    </xf>
    <xf numFmtId="44" fontId="40" fillId="0" borderId="0" xfId="0" applyNumberFormat="1" applyFont="1" applyAlignment="1">
      <alignment horizontal="left" vertical="center"/>
    </xf>
    <xf numFmtId="44" fontId="34" fillId="0" borderId="0" xfId="0" applyNumberFormat="1" applyFont="1" applyAlignment="1">
      <alignment horizontal="left" vertical="center"/>
    </xf>
    <xf numFmtId="44" fontId="35" fillId="38" borderId="0" xfId="0" applyNumberFormat="1" applyFont="1" applyFill="1" applyAlignment="1">
      <alignment horizontal="center" vertical="center"/>
    </xf>
    <xf numFmtId="0" fontId="37" fillId="0" borderId="17" xfId="0" applyFont="1" applyBorder="1" applyAlignment="1">
      <alignment horizontal="left" vertical="center" wrapText="1"/>
    </xf>
    <xf numFmtId="0" fontId="37" fillId="0" borderId="17" xfId="0" applyFont="1" applyBorder="1" applyAlignment="1">
      <alignment horizontal="left" vertical="center"/>
    </xf>
    <xf numFmtId="44" fontId="37" fillId="0" borderId="17" xfId="0" applyNumberFormat="1" applyFont="1" applyBorder="1" applyAlignment="1">
      <alignment horizontal="left" vertical="center"/>
    </xf>
    <xf numFmtId="0" fontId="38" fillId="0" borderId="17" xfId="0" applyFont="1" applyBorder="1" applyAlignment="1">
      <alignment horizontal="center" vertical="center" wrapText="1"/>
    </xf>
    <xf numFmtId="0" fontId="44" fillId="0" borderId="0" xfId="0" applyFont="1" applyAlignment="1">
      <alignment horizontal="left" vertical="center"/>
    </xf>
    <xf numFmtId="0" fontId="44" fillId="0" borderId="10" xfId="0" applyFont="1" applyBorder="1" applyAlignment="1">
      <alignment horizontal="left" vertical="center"/>
    </xf>
    <xf numFmtId="0" fontId="34" fillId="0" borderId="10" xfId="0" applyFont="1" applyBorder="1" applyAlignment="1">
      <alignment horizontal="left" vertical="center"/>
    </xf>
    <xf numFmtId="44" fontId="34" fillId="0" borderId="10" xfId="0" applyNumberFormat="1" applyFont="1" applyBorder="1" applyAlignment="1">
      <alignment horizontal="left" vertical="center"/>
    </xf>
    <xf numFmtId="0" fontId="45" fillId="35" borderId="12" xfId="0" applyFont="1" applyFill="1" applyBorder="1" applyAlignment="1">
      <alignment horizontal="center" vertical="center" wrapText="1"/>
    </xf>
    <xf numFmtId="0" fontId="45" fillId="0" borderId="13" xfId="0" applyFont="1" applyBorder="1" applyAlignment="1">
      <alignment horizontal="center" vertical="center" wrapText="1"/>
    </xf>
    <xf numFmtId="9" fontId="30" fillId="0" borderId="13" xfId="1" applyFont="1" applyFill="1" applyBorder="1" applyAlignment="1">
      <alignment horizontal="left" vertical="center" indent="1"/>
    </xf>
    <xf numFmtId="9" fontId="41" fillId="37" borderId="16" xfId="1" applyFont="1" applyFill="1" applyBorder="1" applyAlignment="1">
      <alignment horizontal="left" vertical="center" indent="1"/>
    </xf>
    <xf numFmtId="168" fontId="31" fillId="0" borderId="11" xfId="0" quotePrefix="1" applyNumberFormat="1" applyFont="1" applyBorder="1" applyAlignment="1">
      <alignment horizontal="left" vertical="center" indent="1"/>
    </xf>
    <xf numFmtId="0" fontId="30" fillId="0" borderId="0" xfId="0" applyFont="1" applyAlignment="1">
      <alignment horizontal="left" vertical="center" indent="1"/>
    </xf>
    <xf numFmtId="0" fontId="32" fillId="0" borderId="0" xfId="0" applyFont="1" applyAlignment="1">
      <alignment horizontal="left" vertical="center" indent="1"/>
    </xf>
    <xf numFmtId="0" fontId="30" fillId="0" borderId="10" xfId="0" applyFont="1" applyBorder="1" applyAlignment="1">
      <alignment horizontal="left" vertical="center" indent="1"/>
    </xf>
    <xf numFmtId="0" fontId="32" fillId="0" borderId="10" xfId="0" applyFont="1" applyBorder="1" applyAlignment="1">
      <alignment horizontal="left" vertical="center" indent="1"/>
    </xf>
    <xf numFmtId="0" fontId="49" fillId="0" borderId="19" xfId="0" applyFont="1" applyBorder="1" applyAlignment="1">
      <alignment horizontal="left" vertical="center" wrapText="1" indent="1"/>
    </xf>
    <xf numFmtId="0" fontId="23" fillId="0" borderId="0" xfId="0" applyFont="1" applyAlignment="1">
      <alignment horizontal="center"/>
    </xf>
    <xf numFmtId="167" fontId="23" fillId="0" borderId="0" xfId="0" applyNumberFormat="1" applyFont="1" applyAlignment="1">
      <alignment horizontal="center"/>
    </xf>
    <xf numFmtId="0" fontId="23" fillId="0" borderId="0" xfId="0" applyFont="1" applyAlignment="1">
      <alignment horizontal="left" indent="1"/>
    </xf>
    <xf numFmtId="1" fontId="47" fillId="0" borderId="19" xfId="0" applyNumberFormat="1" applyFont="1" applyBorder="1" applyAlignment="1">
      <alignment horizontal="left" vertical="center" indent="1" shrinkToFit="1"/>
    </xf>
    <xf numFmtId="44" fontId="50" fillId="0" borderId="19" xfId="0" applyNumberFormat="1" applyFont="1" applyBorder="1" applyAlignment="1">
      <alignment horizontal="left" vertical="center" indent="1" shrinkToFit="1"/>
    </xf>
    <xf numFmtId="44" fontId="23" fillId="0" borderId="0" xfId="0" applyNumberFormat="1" applyFont="1" applyAlignment="1">
      <alignment horizontal="center"/>
    </xf>
    <xf numFmtId="9" fontId="23" fillId="0" borderId="0" xfId="1" applyFont="1" applyAlignment="1">
      <alignment horizontal="center"/>
    </xf>
    <xf numFmtId="9" fontId="49" fillId="0" borderId="19" xfId="1" applyFont="1" applyBorder="1" applyAlignment="1">
      <alignment horizontal="center" vertical="center" wrapText="1"/>
    </xf>
    <xf numFmtId="0" fontId="52" fillId="0" borderId="0" xfId="0" applyFont="1" applyAlignment="1">
      <alignment horizontal="center"/>
    </xf>
    <xf numFmtId="0" fontId="38" fillId="35" borderId="12" xfId="0" applyFont="1" applyFill="1" applyBorder="1" applyAlignment="1">
      <alignment horizontal="left" vertical="center" wrapText="1" indent="1"/>
    </xf>
    <xf numFmtId="0" fontId="54" fillId="0" borderId="0" xfId="0" applyFont="1" applyAlignment="1">
      <alignment horizontal="center" vertical="center"/>
    </xf>
    <xf numFmtId="167" fontId="54" fillId="0" borderId="0" xfId="0" applyNumberFormat="1" applyFont="1" applyAlignment="1">
      <alignment horizontal="center" vertical="center"/>
    </xf>
    <xf numFmtId="0" fontId="55" fillId="0" borderId="0" xfId="0" applyFont="1" applyAlignment="1">
      <alignment horizontal="left" vertical="center"/>
    </xf>
    <xf numFmtId="0" fontId="56" fillId="0" borderId="0" xfId="0" applyFont="1" applyAlignment="1">
      <alignment horizontal="left" vertical="center"/>
    </xf>
    <xf numFmtId="167" fontId="55" fillId="0" borderId="0" xfId="0" applyNumberFormat="1" applyFont="1" applyAlignment="1">
      <alignment horizontal="center" vertical="center"/>
    </xf>
    <xf numFmtId="167" fontId="54" fillId="0" borderId="0" xfId="0" applyNumberFormat="1" applyFont="1" applyAlignment="1">
      <alignment horizontal="left" vertical="center"/>
    </xf>
    <xf numFmtId="0" fontId="54" fillId="0" borderId="0" xfId="0" applyFont="1" applyAlignment="1">
      <alignment horizontal="left" vertical="center"/>
    </xf>
    <xf numFmtId="0" fontId="57" fillId="0" borderId="0" xfId="0" applyFont="1" applyAlignment="1">
      <alignment horizontal="center"/>
    </xf>
    <xf numFmtId="0" fontId="55" fillId="0" borderId="0" xfId="0" applyFont="1"/>
    <xf numFmtId="0" fontId="55" fillId="0" borderId="0" xfId="0" applyFont="1" applyAlignment="1">
      <alignment horizontal="center"/>
    </xf>
    <xf numFmtId="167" fontId="55" fillId="0" borderId="0" xfId="0" applyNumberFormat="1" applyFont="1" applyAlignment="1">
      <alignment horizontal="center"/>
    </xf>
    <xf numFmtId="0" fontId="21" fillId="0" borderId="26" xfId="0" applyFont="1" applyBorder="1" applyAlignment="1">
      <alignment horizontal="left" vertical="center" indent="1"/>
    </xf>
    <xf numFmtId="0" fontId="48" fillId="0" borderId="20" xfId="0" applyFont="1" applyBorder="1" applyAlignment="1">
      <alignment horizontal="centerContinuous" vertical="center"/>
    </xf>
    <xf numFmtId="167" fontId="43" fillId="0" borderId="20" xfId="0" applyNumberFormat="1" applyFont="1" applyBorder="1" applyAlignment="1">
      <alignment horizontal="centerContinuous" vertical="center"/>
    </xf>
    <xf numFmtId="1" fontId="49" fillId="0" borderId="19" xfId="0" applyNumberFormat="1" applyFont="1" applyBorder="1" applyAlignment="1">
      <alignment horizontal="center" vertical="center" wrapText="1"/>
    </xf>
    <xf numFmtId="171" fontId="50" fillId="0" borderId="19" xfId="0" applyNumberFormat="1" applyFont="1" applyBorder="1" applyAlignment="1">
      <alignment horizontal="center" vertical="center" shrinkToFit="1"/>
    </xf>
    <xf numFmtId="173" fontId="18" fillId="0" borderId="0" xfId="0" applyNumberFormat="1" applyFont="1"/>
    <xf numFmtId="0" fontId="18" fillId="0" borderId="0" xfId="0" applyFont="1" applyAlignment="1">
      <alignment horizontal="left" indent="1"/>
    </xf>
    <xf numFmtId="166" fontId="61" fillId="40" borderId="27" xfId="0" applyNumberFormat="1" applyFont="1" applyFill="1" applyBorder="1" applyAlignment="1">
      <alignment horizontal="left" vertical="center" indent="1"/>
    </xf>
    <xf numFmtId="0" fontId="63" fillId="0" borderId="28" xfId="0" applyFont="1" applyBorder="1" applyAlignment="1">
      <alignment horizontal="left" vertical="center" indent="1"/>
    </xf>
    <xf numFmtId="0" fontId="64" fillId="0" borderId="28" xfId="0" applyFont="1" applyBorder="1" applyAlignment="1">
      <alignment horizontal="left" vertical="center" indent="1"/>
    </xf>
    <xf numFmtId="167" fontId="65" fillId="33" borderId="28" xfId="0" quotePrefix="1" applyNumberFormat="1" applyFont="1" applyFill="1" applyBorder="1" applyAlignment="1">
      <alignment horizontal="left" vertical="center"/>
    </xf>
    <xf numFmtId="0" fontId="30" fillId="0" borderId="28" xfId="0" applyFont="1" applyBorder="1" applyAlignment="1">
      <alignment horizontal="left" vertical="center" indent="1"/>
    </xf>
    <xf numFmtId="167" fontId="65" fillId="0" borderId="28" xfId="0" quotePrefix="1" applyNumberFormat="1" applyFont="1" applyBorder="1" applyAlignment="1">
      <alignment horizontal="left" vertical="center"/>
    </xf>
    <xf numFmtId="0" fontId="66" fillId="0" borderId="0" xfId="0" applyFont="1"/>
    <xf numFmtId="167" fontId="65" fillId="0" borderId="28" xfId="0" applyNumberFormat="1" applyFont="1" applyBorder="1" applyAlignment="1">
      <alignment horizontal="left" vertical="center"/>
    </xf>
    <xf numFmtId="0" fontId="67" fillId="0" borderId="0" xfId="0" applyFont="1" applyAlignment="1">
      <alignment horizontal="left" vertical="center" indent="2"/>
    </xf>
    <xf numFmtId="0" fontId="68" fillId="0" borderId="0" xfId="0" applyFont="1" applyAlignment="1">
      <alignment horizontal="left" vertical="center" indent="4"/>
    </xf>
    <xf numFmtId="0" fontId="65" fillId="0" borderId="0" xfId="0" applyFont="1" applyAlignment="1">
      <alignment horizontal="left" vertical="center" indent="4"/>
    </xf>
    <xf numFmtId="10" fontId="65" fillId="0" borderId="28" xfId="1" applyNumberFormat="1" applyFont="1" applyBorder="1" applyAlignment="1">
      <alignment horizontal="left" vertical="center"/>
    </xf>
    <xf numFmtId="173" fontId="69" fillId="0" borderId="0" xfId="0" applyNumberFormat="1" applyFont="1"/>
    <xf numFmtId="0" fontId="70" fillId="0" borderId="0" xfId="0" applyFont="1" applyAlignment="1">
      <alignment horizontal="left" vertical="center" indent="4"/>
    </xf>
    <xf numFmtId="166" fontId="69" fillId="0" borderId="0" xfId="0" applyNumberFormat="1" applyFont="1" applyAlignment="1">
      <alignment horizontal="center"/>
    </xf>
    <xf numFmtId="167" fontId="69" fillId="0" borderId="0" xfId="0" applyNumberFormat="1" applyFont="1" applyAlignment="1">
      <alignment horizontal="center" vertical="center"/>
    </xf>
    <xf numFmtId="165" fontId="65" fillId="0" borderId="28" xfId="0" applyNumberFormat="1" applyFont="1" applyBorder="1" applyAlignment="1">
      <alignment horizontal="left" vertical="center"/>
    </xf>
    <xf numFmtId="0" fontId="69" fillId="0" borderId="0" xfId="0" applyFont="1"/>
    <xf numFmtId="0" fontId="69" fillId="0" borderId="28" xfId="0" applyFont="1" applyBorder="1" applyAlignment="1">
      <alignment horizontal="left" indent="1"/>
    </xf>
    <xf numFmtId="0" fontId="63" fillId="0" borderId="29" xfId="0" applyFont="1" applyBorder="1" applyAlignment="1">
      <alignment horizontal="left" vertical="center" indent="1"/>
    </xf>
    <xf numFmtId="0" fontId="30" fillId="0" borderId="29" xfId="0" applyFont="1" applyBorder="1" applyAlignment="1">
      <alignment horizontal="left" vertical="center" indent="1"/>
    </xf>
    <xf numFmtId="165" fontId="65" fillId="0" borderId="29" xfId="0" applyNumberFormat="1" applyFont="1" applyBorder="1" applyAlignment="1">
      <alignment horizontal="left" vertical="center"/>
    </xf>
    <xf numFmtId="0" fontId="65" fillId="0" borderId="0" xfId="0" applyFont="1" applyAlignment="1">
      <alignment horizontal="center" vertical="center" wrapText="1"/>
    </xf>
    <xf numFmtId="169" fontId="23" fillId="0" borderId="0" xfId="0" applyNumberFormat="1" applyFont="1" applyAlignment="1">
      <alignment horizontal="center"/>
    </xf>
    <xf numFmtId="0" fontId="71" fillId="39" borderId="12" xfId="0" applyFont="1" applyFill="1" applyBorder="1" applyAlignment="1">
      <alignment horizontal="center" vertical="center" wrapText="1"/>
    </xf>
    <xf numFmtId="166" fontId="71" fillId="39" borderId="12" xfId="0" applyNumberFormat="1" applyFont="1" applyFill="1" applyBorder="1" applyAlignment="1">
      <alignment horizontal="center" vertical="center" wrapText="1"/>
    </xf>
    <xf numFmtId="167" fontId="71" fillId="39" borderId="12" xfId="0" applyNumberFormat="1" applyFont="1" applyFill="1" applyBorder="1" applyAlignment="1">
      <alignment horizontal="center" vertical="center" wrapText="1"/>
    </xf>
    <xf numFmtId="174" fontId="58" fillId="0" borderId="13" xfId="0" applyNumberFormat="1" applyFont="1" applyBorder="1" applyAlignment="1">
      <alignment horizontal="left" vertical="center" indent="1"/>
    </xf>
    <xf numFmtId="0" fontId="58" fillId="0" borderId="13" xfId="0" applyFont="1" applyBorder="1" applyAlignment="1">
      <alignment horizontal="center" vertical="center"/>
    </xf>
    <xf numFmtId="0" fontId="72" fillId="0" borderId="13" xfId="0" applyFont="1" applyBorder="1" applyAlignment="1">
      <alignment horizontal="left" vertical="center" wrapText="1" indent="1"/>
    </xf>
    <xf numFmtId="166" fontId="58" fillId="0" borderId="13" xfId="0" applyNumberFormat="1" applyFont="1" applyBorder="1" applyAlignment="1">
      <alignment horizontal="center" vertical="center"/>
    </xf>
    <xf numFmtId="167" fontId="58" fillId="0" borderId="13" xfId="0" applyNumberFormat="1" applyFont="1" applyBorder="1" applyAlignment="1">
      <alignment horizontal="center" vertical="center"/>
    </xf>
    <xf numFmtId="167" fontId="58" fillId="0" borderId="13" xfId="0" applyNumberFormat="1" applyFont="1" applyBorder="1" applyAlignment="1">
      <alignment horizontal="left" vertical="center" indent="1"/>
    </xf>
    <xf numFmtId="166" fontId="58" fillId="0" borderId="13" xfId="0" applyNumberFormat="1" applyFont="1" applyBorder="1" applyAlignment="1">
      <alignment horizontal="left" vertical="center" indent="1"/>
    </xf>
    <xf numFmtId="0" fontId="58" fillId="0" borderId="13" xfId="0" applyFont="1" applyBorder="1" applyAlignment="1">
      <alignment horizontal="left" vertical="center" indent="1"/>
    </xf>
    <xf numFmtId="174" fontId="58" fillId="0" borderId="13" xfId="0" applyNumberFormat="1" applyFont="1" applyBorder="1" applyAlignment="1">
      <alignment horizontal="left" vertical="center" indent="2"/>
    </xf>
    <xf numFmtId="0" fontId="58" fillId="0" borderId="13" xfId="0" applyFont="1" applyBorder="1" applyAlignment="1">
      <alignment horizontal="left" vertical="center" wrapText="1" indent="2"/>
    </xf>
    <xf numFmtId="167" fontId="58" fillId="0" borderId="13" xfId="0" applyNumberFormat="1" applyFont="1" applyBorder="1" applyAlignment="1">
      <alignment horizontal="left" vertical="center" indent="2"/>
    </xf>
    <xf numFmtId="166" fontId="58" fillId="0" borderId="13" xfId="0" applyNumberFormat="1" applyFont="1" applyBorder="1" applyAlignment="1">
      <alignment horizontal="left" vertical="center" indent="2"/>
    </xf>
    <xf numFmtId="0" fontId="58" fillId="0" borderId="13" xfId="0" applyFont="1" applyBorder="1" applyAlignment="1">
      <alignment horizontal="left" vertical="center" indent="2"/>
    </xf>
    <xf numFmtId="0" fontId="58" fillId="0" borderId="13" xfId="0" applyFont="1" applyBorder="1" applyAlignment="1">
      <alignment horizontal="left" indent="1"/>
    </xf>
    <xf numFmtId="0" fontId="73" fillId="0" borderId="13" xfId="0" applyFont="1" applyBorder="1" applyAlignment="1">
      <alignment horizontal="left" vertical="center" indent="1"/>
    </xf>
    <xf numFmtId="166" fontId="59" fillId="0" borderId="13" xfId="0" applyNumberFormat="1" applyFont="1" applyBorder="1" applyAlignment="1">
      <alignment horizontal="center" vertical="center"/>
    </xf>
    <xf numFmtId="174" fontId="58" fillId="0" borderId="17" xfId="0" applyNumberFormat="1" applyFont="1" applyBorder="1" applyAlignment="1">
      <alignment horizontal="left" vertical="center" indent="1"/>
    </xf>
    <xf numFmtId="0" fontId="58" fillId="0" borderId="17" xfId="0" applyFont="1" applyBorder="1" applyAlignment="1">
      <alignment horizontal="center" vertical="center"/>
    </xf>
    <xf numFmtId="0" fontId="72" fillId="0" borderId="17" xfId="0" applyFont="1" applyBorder="1" applyAlignment="1">
      <alignment horizontal="left" vertical="center" wrapText="1" indent="1"/>
    </xf>
    <xf numFmtId="166" fontId="58" fillId="0" borderId="17" xfId="0" applyNumberFormat="1" applyFont="1" applyBorder="1" applyAlignment="1">
      <alignment horizontal="center" vertical="center"/>
    </xf>
    <xf numFmtId="167" fontId="58" fillId="0" borderId="17" xfId="0" applyNumberFormat="1" applyFont="1" applyBorder="1" applyAlignment="1">
      <alignment horizontal="center" vertical="center"/>
    </xf>
    <xf numFmtId="167" fontId="58" fillId="0" borderId="17" xfId="0" applyNumberFormat="1" applyFont="1" applyBorder="1" applyAlignment="1">
      <alignment horizontal="left" vertical="center" indent="1"/>
    </xf>
    <xf numFmtId="166" fontId="58" fillId="0" borderId="17" xfId="0" applyNumberFormat="1" applyFont="1" applyBorder="1" applyAlignment="1">
      <alignment horizontal="left" vertical="center" indent="1"/>
    </xf>
    <xf numFmtId="0" fontId="58" fillId="0" borderId="17" xfId="0" applyFont="1" applyBorder="1" applyAlignment="1">
      <alignment horizontal="left" vertical="center" indent="1"/>
    </xf>
    <xf numFmtId="9" fontId="18" fillId="0" borderId="0" xfId="1" applyFont="1" applyAlignment="1">
      <alignment horizontal="left" indent="1"/>
    </xf>
    <xf numFmtId="9" fontId="62" fillId="0" borderId="0" xfId="1" applyFont="1" applyAlignment="1">
      <alignment horizontal="left" vertical="center" indent="1"/>
    </xf>
    <xf numFmtId="9" fontId="20" fillId="0" borderId="0" xfId="1" quotePrefix="1" applyFont="1" applyAlignment="1">
      <alignment horizontal="left" vertical="center" indent="3"/>
    </xf>
    <xf numFmtId="9" fontId="20" fillId="0" borderId="0" xfId="1" applyFont="1" applyAlignment="1">
      <alignment horizontal="left" vertical="center" indent="3"/>
    </xf>
    <xf numFmtId="9" fontId="20" fillId="0" borderId="0" xfId="1" applyFont="1" applyFill="1" applyBorder="1" applyAlignment="1">
      <alignment horizontal="left" vertical="center" indent="3"/>
    </xf>
    <xf numFmtId="9" fontId="71" fillId="39" borderId="12" xfId="1" applyFont="1" applyFill="1" applyBorder="1" applyAlignment="1">
      <alignment horizontal="center" vertical="center" wrapText="1"/>
    </xf>
    <xf numFmtId="9" fontId="58" fillId="0" borderId="13" xfId="1" applyFont="1" applyBorder="1" applyAlignment="1">
      <alignment horizontal="left" vertical="center" indent="1"/>
    </xf>
    <xf numFmtId="9" fontId="58" fillId="0" borderId="13" xfId="1" applyFont="1" applyBorder="1" applyAlignment="1">
      <alignment horizontal="left" vertical="center" indent="2"/>
    </xf>
    <xf numFmtId="9" fontId="58" fillId="0" borderId="13" xfId="1" applyFont="1" applyBorder="1" applyAlignment="1">
      <alignment horizontal="left" indent="1"/>
    </xf>
    <xf numFmtId="9" fontId="73" fillId="0" borderId="13" xfId="1" applyFont="1" applyBorder="1" applyAlignment="1">
      <alignment horizontal="left" vertical="center" indent="1"/>
    </xf>
    <xf numFmtId="9" fontId="58" fillId="0" borderId="17" xfId="1" applyFont="1" applyBorder="1" applyAlignment="1">
      <alignment horizontal="left" vertical="center" indent="1"/>
    </xf>
    <xf numFmtId="167" fontId="18" fillId="0" borderId="0" xfId="0" applyNumberFormat="1" applyFont="1"/>
    <xf numFmtId="167" fontId="69" fillId="0" borderId="0" xfId="0" applyNumberFormat="1" applyFont="1"/>
    <xf numFmtId="167" fontId="58" fillId="0" borderId="13" xfId="0" applyNumberFormat="1" applyFont="1" applyBorder="1" applyAlignment="1">
      <alignment horizontal="left" indent="1"/>
    </xf>
    <xf numFmtId="167" fontId="73" fillId="0" borderId="13" xfId="0" applyNumberFormat="1" applyFont="1" applyBorder="1" applyAlignment="1">
      <alignment horizontal="left" vertical="center" indent="1"/>
    </xf>
    <xf numFmtId="0" fontId="58" fillId="0" borderId="13" xfId="0" applyFont="1" applyBorder="1" applyAlignment="1">
      <alignment horizontal="left" vertical="center" indent="3"/>
    </xf>
    <xf numFmtId="175" fontId="37" fillId="35" borderId="12" xfId="0" applyNumberFormat="1" applyFont="1" applyFill="1" applyBorder="1" applyAlignment="1">
      <alignment horizontal="left" vertical="center"/>
    </xf>
    <xf numFmtId="0" fontId="74" fillId="35" borderId="11" xfId="0" applyFont="1" applyFill="1" applyBorder="1" applyAlignment="1">
      <alignment horizontal="left" vertical="center" wrapText="1"/>
    </xf>
    <xf numFmtId="0" fontId="74" fillId="35" borderId="11" xfId="0" applyFont="1" applyFill="1" applyBorder="1" applyAlignment="1">
      <alignment horizontal="left" vertical="center"/>
    </xf>
    <xf numFmtId="164" fontId="75" fillId="35" borderId="11" xfId="0" applyNumberFormat="1" applyFont="1" applyFill="1" applyBorder="1" applyAlignment="1">
      <alignment horizontal="left" vertical="center"/>
    </xf>
    <xf numFmtId="9" fontId="75" fillId="35" borderId="11" xfId="1" applyFont="1" applyFill="1" applyBorder="1" applyAlignment="1">
      <alignment horizontal="left" vertical="center"/>
    </xf>
    <xf numFmtId="166" fontId="31" fillId="0" borderId="15" xfId="0" applyNumberFormat="1" applyFont="1" applyBorder="1" applyAlignment="1">
      <alignment horizontal="right" vertical="center" indent="1"/>
    </xf>
    <xf numFmtId="176" fontId="74" fillId="35" borderId="11" xfId="0" applyNumberFormat="1" applyFont="1" applyFill="1" applyBorder="1" applyAlignment="1">
      <alignment horizontal="center" vertical="center"/>
    </xf>
    <xf numFmtId="0" fontId="58" fillId="0" borderId="13" xfId="0" applyFont="1" applyBorder="1" applyAlignment="1">
      <alignment horizontal="left" vertical="center" wrapText="1" indent="1"/>
    </xf>
    <xf numFmtId="0" fontId="60" fillId="37" borderId="18" xfId="0" applyFont="1" applyFill="1" applyBorder="1" applyAlignment="1">
      <alignment horizontal="left" vertical="center" wrapText="1" indent="1"/>
    </xf>
    <xf numFmtId="0" fontId="60" fillId="37" borderId="18" xfId="0" applyFont="1" applyFill="1" applyBorder="1" applyAlignment="1">
      <alignment horizontal="center" vertical="center" wrapText="1"/>
    </xf>
    <xf numFmtId="167" fontId="60" fillId="37" borderId="18" xfId="0" applyNumberFormat="1" applyFont="1" applyFill="1" applyBorder="1" applyAlignment="1">
      <alignment horizontal="left" vertical="center" wrapText="1" indent="1"/>
    </xf>
    <xf numFmtId="44" fontId="60" fillId="37" borderId="18" xfId="0" applyNumberFormat="1" applyFont="1" applyFill="1" applyBorder="1" applyAlignment="1">
      <alignment horizontal="left" vertical="center" wrapText="1" indent="1"/>
    </xf>
    <xf numFmtId="9" fontId="60" fillId="37" borderId="18" xfId="1" applyFont="1" applyFill="1" applyBorder="1" applyAlignment="1">
      <alignment horizontal="center" vertical="center" wrapText="1"/>
    </xf>
    <xf numFmtId="0" fontId="51" fillId="0" borderId="26" xfId="0" applyFont="1" applyBorder="1" applyAlignment="1">
      <alignment horizontal="left" vertical="center" indent="1"/>
    </xf>
    <xf numFmtId="171" fontId="55" fillId="0" borderId="0" xfId="0" applyNumberFormat="1" applyFont="1" applyAlignment="1">
      <alignment horizontal="center"/>
    </xf>
    <xf numFmtId="178" fontId="55" fillId="0" borderId="0" xfId="0" applyNumberFormat="1" applyFont="1" applyAlignment="1">
      <alignment horizontal="center"/>
    </xf>
    <xf numFmtId="44" fontId="55" fillId="0" borderId="0" xfId="0" applyNumberFormat="1" applyFont="1" applyAlignment="1">
      <alignment horizontal="center"/>
    </xf>
    <xf numFmtId="0" fontId="35" fillId="37" borderId="21" xfId="0" applyFont="1" applyFill="1" applyBorder="1" applyAlignment="1">
      <alignment horizontal="left" vertical="center" indent="1"/>
    </xf>
    <xf numFmtId="0" fontId="35" fillId="37" borderId="22" xfId="0" applyFont="1" applyFill="1" applyBorder="1" applyAlignment="1">
      <alignment horizontal="left" vertical="center" indent="1"/>
    </xf>
    <xf numFmtId="178" fontId="35" fillId="37" borderId="22" xfId="0" applyNumberFormat="1" applyFont="1" applyFill="1" applyBorder="1" applyAlignment="1">
      <alignment horizontal="left" vertical="center" indent="1"/>
    </xf>
    <xf numFmtId="171" fontId="35" fillId="37" borderId="22" xfId="0" applyNumberFormat="1" applyFont="1" applyFill="1" applyBorder="1" applyAlignment="1">
      <alignment horizontal="left" vertical="center" indent="1"/>
    </xf>
    <xf numFmtId="167" fontId="35" fillId="37" borderId="22" xfId="0" applyNumberFormat="1" applyFont="1" applyFill="1" applyBorder="1" applyAlignment="1">
      <alignment horizontal="left" vertical="center" indent="1"/>
    </xf>
    <xf numFmtId="44" fontId="35" fillId="37" borderId="23" xfId="0" applyNumberFormat="1" applyFont="1" applyFill="1" applyBorder="1" applyAlignment="1">
      <alignment horizontal="left" vertical="center" indent="1"/>
    </xf>
    <xf numFmtId="0" fontId="51" fillId="0" borderId="24" xfId="0" applyFont="1" applyBorder="1" applyAlignment="1">
      <alignment horizontal="left" vertical="center" indent="1"/>
    </xf>
    <xf numFmtId="172" fontId="21" fillId="0" borderId="26" xfId="0" applyNumberFormat="1" applyFont="1" applyBorder="1" applyAlignment="1">
      <alignment horizontal="left" vertical="center" indent="1"/>
    </xf>
    <xf numFmtId="178" fontId="21" fillId="0" borderId="26" xfId="0" applyNumberFormat="1" applyFont="1" applyBorder="1" applyAlignment="1">
      <alignment horizontal="left" vertical="center" indent="1"/>
    </xf>
    <xf numFmtId="171" fontId="21" fillId="0" borderId="26" xfId="0" applyNumberFormat="1" applyFont="1" applyBorder="1" applyAlignment="1">
      <alignment horizontal="left" vertical="center" indent="1"/>
    </xf>
    <xf numFmtId="167" fontId="21" fillId="0" borderId="26" xfId="0" applyNumberFormat="1" applyFont="1" applyBorder="1" applyAlignment="1">
      <alignment horizontal="left" vertical="center" indent="1"/>
    </xf>
    <xf numFmtId="44" fontId="21" fillId="0" borderId="25" xfId="0" applyNumberFormat="1" applyFont="1" applyBorder="1" applyAlignment="1">
      <alignment horizontal="left" vertical="center" indent="1"/>
    </xf>
    <xf numFmtId="165" fontId="21" fillId="0" borderId="26" xfId="0" applyNumberFormat="1" applyFont="1" applyBorder="1" applyAlignment="1">
      <alignment horizontal="left" vertical="center" indent="1"/>
    </xf>
    <xf numFmtId="0" fontId="60" fillId="37" borderId="24" xfId="0" applyFont="1" applyFill="1" applyBorder="1" applyAlignment="1">
      <alignment horizontal="left" vertical="center" indent="1"/>
    </xf>
    <xf numFmtId="0" fontId="60" fillId="37" borderId="26" xfId="0" applyFont="1" applyFill="1" applyBorder="1" applyAlignment="1">
      <alignment horizontal="left" vertical="center" indent="1"/>
    </xf>
    <xf numFmtId="172" fontId="60" fillId="37" borderId="26" xfId="0" applyNumberFormat="1" applyFont="1" applyFill="1" applyBorder="1" applyAlignment="1">
      <alignment horizontal="left" vertical="center" indent="1"/>
    </xf>
    <xf numFmtId="178" fontId="60" fillId="37" borderId="26" xfId="0" applyNumberFormat="1" applyFont="1" applyFill="1" applyBorder="1" applyAlignment="1">
      <alignment horizontal="left" vertical="center" indent="1"/>
    </xf>
    <xf numFmtId="165" fontId="60" fillId="37" borderId="26" xfId="0" applyNumberFormat="1" applyFont="1" applyFill="1" applyBorder="1" applyAlignment="1">
      <alignment horizontal="left" vertical="center" indent="1"/>
    </xf>
    <xf numFmtId="171" fontId="60" fillId="37" borderId="26" xfId="0" applyNumberFormat="1" applyFont="1" applyFill="1" applyBorder="1" applyAlignment="1">
      <alignment horizontal="left" vertical="center" indent="1"/>
    </xf>
    <xf numFmtId="167" fontId="60" fillId="37" borderId="26" xfId="0" applyNumberFormat="1" applyFont="1" applyFill="1" applyBorder="1" applyAlignment="1">
      <alignment horizontal="left" vertical="center" indent="1"/>
    </xf>
    <xf numFmtId="44" fontId="60" fillId="37" borderId="25" xfId="0" applyNumberFormat="1" applyFont="1" applyFill="1" applyBorder="1" applyAlignment="1">
      <alignment horizontal="left" vertical="center" indent="1"/>
    </xf>
    <xf numFmtId="0" fontId="57" fillId="0" borderId="0" xfId="0" applyFont="1" applyAlignment="1">
      <alignment horizontal="left" vertical="center"/>
    </xf>
    <xf numFmtId="167" fontId="57" fillId="0" borderId="0" xfId="0" applyNumberFormat="1" applyFont="1" applyAlignment="1">
      <alignment horizontal="center" vertical="center"/>
    </xf>
    <xf numFmtId="0" fontId="77" fillId="0" borderId="0" xfId="0" applyFont="1" applyAlignment="1">
      <alignment horizontal="left" vertical="center"/>
    </xf>
    <xf numFmtId="0" fontId="22" fillId="37" borderId="0" xfId="0" applyFont="1" applyFill="1" applyAlignment="1">
      <alignment horizontal="center" vertical="center"/>
    </xf>
    <xf numFmtId="167" fontId="22" fillId="37" borderId="0" xfId="0" applyNumberFormat="1" applyFont="1" applyFill="1" applyAlignment="1">
      <alignment horizontal="center" vertical="center"/>
    </xf>
    <xf numFmtId="44" fontId="22" fillId="37" borderId="0" xfId="0" applyNumberFormat="1" applyFont="1" applyFill="1" applyAlignment="1">
      <alignment horizontal="center" vertical="center"/>
    </xf>
    <xf numFmtId="9" fontId="22" fillId="37" borderId="0" xfId="1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75" fontId="50" fillId="0" borderId="19" xfId="0" applyNumberFormat="1" applyFont="1" applyBorder="1" applyAlignment="1">
      <alignment horizontal="left" vertical="center" indent="1" shrinkToFit="1"/>
    </xf>
    <xf numFmtId="175" fontId="49" fillId="0" borderId="19" xfId="0" applyNumberFormat="1" applyFont="1" applyBorder="1" applyAlignment="1">
      <alignment horizontal="left" vertical="center" wrapText="1" indent="1"/>
    </xf>
    <xf numFmtId="170" fontId="44" fillId="0" borderId="0" xfId="0" quotePrefix="1" applyNumberFormat="1" applyFont="1" applyAlignment="1">
      <alignment horizontal="left" vertical="center"/>
    </xf>
    <xf numFmtId="170" fontId="44" fillId="0" borderId="0" xfId="0" applyNumberFormat="1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46" fillId="0" borderId="11" xfId="0" applyFont="1" applyBorder="1" applyAlignment="1">
      <alignment horizontal="left" vertical="center" indent="1"/>
    </xf>
    <xf numFmtId="44" fontId="30" fillId="0" borderId="13" xfId="0" applyNumberFormat="1" applyFont="1" applyBorder="1" applyAlignment="1">
      <alignment horizontal="right" vertical="center"/>
    </xf>
    <xf numFmtId="175" fontId="42" fillId="37" borderId="16" xfId="0" applyNumberFormat="1" applyFont="1" applyFill="1" applyBorder="1" applyAlignment="1">
      <alignment horizontal="center" vertical="center"/>
    </xf>
    <xf numFmtId="175" fontId="30" fillId="0" borderId="13" xfId="0" applyNumberFormat="1" applyFont="1" applyBorder="1" applyAlignment="1">
      <alignment horizontal="right" vertical="center"/>
    </xf>
    <xf numFmtId="164" fontId="35" fillId="38" borderId="0" xfId="0" applyNumberFormat="1" applyFont="1" applyFill="1" applyAlignment="1">
      <alignment horizontal="center" vertical="center"/>
    </xf>
    <xf numFmtId="0" fontId="38" fillId="35" borderId="12" xfId="0" applyFont="1" applyFill="1" applyBorder="1" applyAlignment="1">
      <alignment horizontal="left" vertical="center" wrapText="1" indent="1"/>
    </xf>
    <xf numFmtId="0" fontId="36" fillId="36" borderId="14" xfId="0" applyFont="1" applyFill="1" applyBorder="1" applyAlignment="1">
      <alignment horizontal="left" vertical="center" wrapText="1"/>
    </xf>
    <xf numFmtId="0" fontId="76" fillId="35" borderId="11" xfId="0" applyFont="1" applyFill="1" applyBorder="1" applyAlignment="1">
      <alignment horizontal="center" vertical="center" wrapText="1"/>
    </xf>
    <xf numFmtId="0" fontId="39" fillId="36" borderId="10" xfId="0" applyFont="1" applyFill="1" applyBorder="1" applyAlignment="1">
      <alignment horizontal="center" vertical="center" wrapText="1"/>
    </xf>
    <xf numFmtId="177" fontId="30" fillId="0" borderId="15" xfId="1" applyNumberFormat="1" applyFont="1" applyFill="1" applyBorder="1" applyAlignment="1">
      <alignment horizontal="center" vertical="center"/>
    </xf>
    <xf numFmtId="166" fontId="61" fillId="40" borderId="27" xfId="0" applyNumberFormat="1" applyFont="1" applyFill="1" applyBorder="1" applyAlignment="1">
      <alignment horizontal="left" vertical="center" indent="1"/>
    </xf>
    <xf numFmtId="170" fontId="70" fillId="0" borderId="0" xfId="0" quotePrefix="1" applyNumberFormat="1" applyFont="1" applyAlignment="1">
      <alignment horizontal="left" vertical="center" indent="4"/>
    </xf>
    <xf numFmtId="170" fontId="70" fillId="0" borderId="0" xfId="0" applyNumberFormat="1" applyFont="1" applyAlignment="1">
      <alignment horizontal="left" vertical="center" indent="4"/>
    </xf>
    <xf numFmtId="168" fontId="31" fillId="41" borderId="13" xfId="0" quotePrefix="1" applyNumberFormat="1" applyFont="1" applyFill="1" applyBorder="1" applyAlignment="1">
      <alignment horizontal="right" vertical="center" indent="1"/>
    </xf>
    <xf numFmtId="166" fontId="31" fillId="41" borderId="13" xfId="0" applyNumberFormat="1" applyFont="1" applyFill="1" applyBorder="1" applyAlignment="1">
      <alignment horizontal="right" vertical="center" indent="1"/>
    </xf>
    <xf numFmtId="166" fontId="31" fillId="41" borderId="16" xfId="0" applyNumberFormat="1" applyFont="1" applyFill="1" applyBorder="1" applyAlignment="1">
      <alignment horizontal="right" vertical="center" indent="1"/>
    </xf>
    <xf numFmtId="1" fontId="37" fillId="41" borderId="12" xfId="0" applyNumberFormat="1" applyFont="1" applyFill="1" applyBorder="1" applyAlignment="1">
      <alignment horizontal="left" vertical="center" wrapText="1"/>
    </xf>
    <xf numFmtId="1" fontId="37" fillId="41" borderId="13" xfId="0" applyNumberFormat="1" applyFont="1" applyFill="1" applyBorder="1" applyAlignment="1">
      <alignment horizontal="left" vertical="center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61">
    <dxf>
      <font>
        <b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4"/>
        <color theme="1"/>
        <name val="Arial Narrow"/>
        <family val="2"/>
        <scheme val="none"/>
      </font>
      <alignment horizontal="left" textRotation="0" relativeIndent="1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4"/>
        <color theme="1"/>
        <name val="Arial Narrow"/>
        <family val="2"/>
        <scheme val="none"/>
      </font>
      <numFmt numFmtId="167" formatCode="&quot;£&quot;#,##0.00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theme="4" tint="-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theme="4" tint="-0.499984740745262"/>
        </top>
        <bottom/>
      </border>
    </dxf>
    <dxf>
      <font>
        <strike val="0"/>
        <outline val="0"/>
        <shadow val="0"/>
        <u val="none"/>
        <vertAlign val="baseline"/>
        <sz val="24"/>
        <color theme="1"/>
        <name val="Arial Narrow"/>
        <family val="2"/>
        <scheme val="none"/>
      </font>
      <alignment horizontal="left" textRotation="0" wrapText="0" relativeIndent="1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theme="4" tint="-0.499984740745262"/>
        </top>
        <bottom/>
      </border>
    </dxf>
    <dxf>
      <font>
        <strike val="0"/>
        <outline val="0"/>
        <shadow val="0"/>
        <u val="none"/>
        <vertAlign val="baseline"/>
        <sz val="24"/>
        <color theme="1"/>
        <name val="Arial Narrow"/>
        <family val="2"/>
        <scheme val="none"/>
      </font>
      <numFmt numFmtId="166" formatCode="[$-F800]dddd\,\ mmmm\ dd\,\ yyyy"/>
      <alignment horizontal="left" textRotation="0" wrapText="0" relativeIndent="1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&quot;£&quot;#,##0.0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theme="4" tint="-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Arial Narrow"/>
        <family val="2"/>
        <scheme val="none"/>
      </font>
      <numFmt numFmtId="167" formatCode="&quot;£&quot;#,##0.00"/>
      <alignment horizontal="left" vertical="center" textRotation="0" wrapText="0" relativeIndent="1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Arial Narrow"/>
        <family val="2"/>
        <scheme val="none"/>
      </font>
      <numFmt numFmtId="167" formatCode="&quot;£&quot;#,##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&quot;£&quot;#,##0.0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theme="4" tint="-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Arial Narrow"/>
        <family val="2"/>
        <scheme val="none"/>
      </font>
      <numFmt numFmtId="167" formatCode="&quot;£&quot;#,##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&quot;£&quot;#,##0.0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theme="4" tint="-0.499984740745262"/>
        </top>
        <bottom/>
      </border>
    </dxf>
    <dxf>
      <font>
        <i val="0"/>
        <strike val="0"/>
        <outline val="0"/>
        <shadow val="0"/>
        <u val="none"/>
        <vertAlign val="baseline"/>
        <sz val="24"/>
        <color theme="1"/>
        <name val="Arial Narrow"/>
        <family val="2"/>
        <scheme val="none"/>
      </font>
      <numFmt numFmtId="167" formatCode="&quot;£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-F800]dddd\,\ mmmm\ dd\,\ yyyy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theme="4" tint="-0.499984740745262"/>
        </top>
        <bottom/>
      </border>
    </dxf>
    <dxf>
      <font>
        <strike val="0"/>
        <outline val="0"/>
        <shadow val="0"/>
        <u val="none"/>
        <vertAlign val="baseline"/>
        <sz val="24"/>
        <color theme="1"/>
        <name val="Arial Narrow"/>
        <family val="2"/>
        <scheme val="none"/>
      </font>
      <numFmt numFmtId="166" formatCode="[$-F800]dddd\,\ mmmm\ dd\,\ 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theme="4" tint="-0.499984740745262"/>
        </top>
        <bottom/>
      </border>
    </dxf>
    <dxf>
      <font>
        <strike val="0"/>
        <outline val="0"/>
        <shadow val="0"/>
        <u val="none"/>
        <vertAlign val="baseline"/>
        <sz val="24"/>
        <color theme="1"/>
        <name val="Arial Narrow"/>
        <family val="2"/>
        <scheme val="none"/>
      </font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theme="4" tint="-0.499984740745262"/>
        </top>
        <bottom/>
      </border>
    </dxf>
    <dxf>
      <font>
        <strike val="0"/>
        <outline val="0"/>
        <shadow val="0"/>
        <u val="none"/>
        <vertAlign val="baseline"/>
        <sz val="24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3" formatCode="&quot;SI&quot;\ 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double">
          <color theme="4" tint="-0.499984740745262"/>
        </top>
        <bottom/>
      </border>
    </dxf>
    <dxf>
      <font>
        <strike val="0"/>
        <outline val="0"/>
        <shadow val="0"/>
        <u val="none"/>
        <vertAlign val="baseline"/>
        <sz val="24"/>
        <color theme="1"/>
        <name val="Arial Narrow"/>
        <family val="2"/>
        <scheme val="none"/>
      </font>
      <numFmt numFmtId="174" formatCode="&quot;SI 0&quot;0"/>
      <alignment horizontal="left" vertical="center" textRotation="0" wrapText="0" relativeIndent="1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top style="thin">
          <color theme="0" tint="-0.14996795556505021"/>
        </top>
      </border>
    </dxf>
    <dxf>
      <font>
        <b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sz val="24"/>
        <color theme="1"/>
        <name val="Arial Narrow"/>
        <family val="2"/>
        <scheme val="none"/>
      </font>
      <alignment horizontal="left" textRotation="0" relativeIndent="1" justifyLastLine="0" shrinkToFit="0" readingOrder="0"/>
    </dxf>
    <dxf>
      <border>
        <bottom style="thin">
          <color theme="0" tint="-0.14996795556505021"/>
        </bottom>
      </border>
    </dxf>
    <dxf>
      <font>
        <b val="0"/>
        <strike val="0"/>
        <outline val="0"/>
        <shadow val="0"/>
        <u val="none"/>
        <vertAlign val="baseline"/>
        <sz val="22"/>
        <color theme="1"/>
        <name val="Arial Nova"/>
        <family val="2"/>
        <scheme val="none"/>
      </font>
      <fill>
        <patternFill>
          <fgColor indexed="64"/>
          <bgColor theme="0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26"/>
        <color theme="0"/>
        <name val="Arial"/>
        <family val="2"/>
        <scheme val="none"/>
      </font>
      <fill>
        <patternFill patternType="solid">
          <fgColor indexed="64"/>
          <bgColor rgb="FFFF0000"/>
        </patternFill>
      </fill>
      <border diagonalUp="0" diagonalDown="0" outline="0">
        <left style="thin">
          <color theme="2" tint="-0.89996032593768116"/>
        </left>
        <right style="thin">
          <color theme="2" tint="-0.89996032593768116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34" formatCode="_-&quot;£&quot;* #,##0.00_-;\-&quot;£&quot;* #,##0.00_-;_-&quot;£&quot;* &quot;-&quot;??_-;_-@_-"/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8"/>
        <color theme="0"/>
        <name val="Arial"/>
        <family val="2"/>
        <scheme val="none"/>
      </font>
      <numFmt numFmtId="167" formatCode="&quot;£&quot;#,##0.00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89996032593768116"/>
        </left>
        <right/>
        <top style="thick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34" formatCode="_-&quot;£&quot;* #,##0.00_-;\-&quot;£&quot;* #,##0.00_-;_-&quot;£&quot;* &quot;-&quot;??_-;_-@_-"/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8"/>
        <color theme="0"/>
        <name val="Arial"/>
        <family val="2"/>
        <scheme val="none"/>
      </font>
      <numFmt numFmtId="167" formatCode="&quot;£&quot;#,##0.00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89996032593768116"/>
        </left>
        <right style="thin">
          <color theme="2" tint="-0.89996032593768116"/>
        </right>
        <top style="thick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7" formatCode="&quot;£&quot;#,##0.00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outline="0">
        <right style="thin">
          <color theme="2" tint="-0.89996032593768116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6"/>
        <color theme="0"/>
        <name val="Arial"/>
        <family val="2"/>
        <scheme val="none"/>
      </font>
      <numFmt numFmtId="1" formatCode="0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89996032593768116"/>
        </left>
        <right style="thin">
          <color theme="2" tint="-0.89996032593768116"/>
        </right>
        <top style="thick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71" formatCode="0.000"/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0" readingOrder="0"/>
      <border outline="0">
        <right style="thin">
          <color theme="2" tint="-0.89996032593768116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6"/>
        <color theme="0"/>
        <name val="Arial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89996032593768116"/>
        </left>
        <right style="thin">
          <color theme="2" tint="-0.89996032593768116"/>
        </right>
        <top style="thick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6"/>
        <color theme="0"/>
        <name val="Arial"/>
        <family val="2"/>
        <scheme val="none"/>
      </font>
      <numFmt numFmtId="165" formatCode="0\ &quot;no.&quot;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89996032593768116"/>
        </left>
        <right style="thin">
          <color theme="2" tint="-0.89996032593768116"/>
        </right>
        <top style="thick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78" formatCode="0\ &quot;KG&quot;"/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6"/>
        <color theme="0"/>
        <name val="Arial"/>
        <family val="2"/>
        <scheme val="none"/>
      </font>
      <numFmt numFmtId="172" formatCode="0\ &quot;kg&quot;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89996032593768116"/>
        </left>
        <right style="thin">
          <color theme="2" tint="-0.89996032593768116"/>
        </right>
        <top style="thick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72" formatCode="0\ &quot;kg&quot;"/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6"/>
        <color theme="0"/>
        <name val="Arial"/>
        <family val="2"/>
        <scheme val="none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89996032593768116"/>
        </left>
        <right style="thin">
          <color theme="2" tint="-0.89996032593768116"/>
        </right>
        <top style="thick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0" formatCode="General"/>
      <alignment horizontal="left" vertical="center" textRotation="0" wrapText="0" relative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6"/>
        <color theme="0"/>
        <name val="Arial"/>
        <family val="2"/>
        <scheme val="none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89996032593768116"/>
        </left>
        <right style="thin">
          <color theme="2" tint="-0.89996032593768116"/>
        </right>
        <top style="thick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alignment horizontal="left" vertical="center" textRotation="0" wrapText="0" relativeIndent="1" justifyLastLine="0" shrinkToFit="0" readingOrder="0"/>
      <border diagonalUp="0" diagonalDown="0" outline="0">
        <left style="thin">
          <color theme="2" tint="-0.89996032593768116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6"/>
        <color theme="0"/>
        <name val="Arial"/>
        <family val="2"/>
        <scheme val="none"/>
      </font>
      <fill>
        <patternFill patternType="solid">
          <fgColor indexed="64"/>
          <bgColor rgb="FFFF000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2" tint="-0.89996032593768116"/>
        </left>
        <right style="thin">
          <color theme="2" tint="-0.89996032593768116"/>
        </right>
        <top style="thick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2" tint="-0.89996032593768116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6"/>
        <color theme="0"/>
        <name val="Arial"/>
        <family val="2"/>
        <scheme val="none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2" tint="-0.89996032593768116"/>
        </right>
        <top style="thick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alignment horizontal="left" vertical="center" textRotation="0" wrapText="0" relativeIndent="1" justifyLastLine="0" shrinkToFit="0" readingOrder="0"/>
      <border diagonalUp="0" diagonalDown="0" outline="0">
        <left/>
        <right style="thin">
          <color theme="2" tint="-0.89996032593768116"/>
        </right>
        <top/>
        <bottom/>
      </border>
    </dxf>
    <dxf>
      <border>
        <top style="thick">
          <color theme="1"/>
        </top>
      </border>
    </dxf>
    <dxf>
      <font>
        <b/>
        <strike val="0"/>
        <outline val="0"/>
        <shadow val="0"/>
        <u val="none"/>
        <vertAlign val="baseline"/>
        <sz val="26"/>
        <color theme="0"/>
        <name val="Arial"/>
        <family val="2"/>
        <scheme val="none"/>
      </font>
      <fill>
        <patternFill patternType="solid">
          <fgColor indexed="64"/>
          <bgColor rgb="FFFF0000"/>
        </patternFill>
      </fill>
      <border diagonalUp="0" diagonalDown="0" outline="0">
        <left style="thin">
          <color theme="2" tint="-0.89996032593768116"/>
        </left>
        <right style="thin">
          <color theme="2" tint="-0.89996032593768116"/>
        </right>
        <top/>
        <bottom/>
      </border>
    </dxf>
    <dxf>
      <border diagonalUp="0" diagonalDown="0">
        <left style="medium">
          <color theme="2" tint="-0.89992980742820516"/>
        </left>
        <right style="medium">
          <color theme="2" tint="-0.89992980742820516"/>
        </right>
        <top style="medium">
          <color theme="2" tint="-0.89992980742820516"/>
        </top>
        <bottom style="medium">
          <color theme="2" tint="-0.89992980742820516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alignment horizontal="left" vertical="center" textRotation="0" wrapText="0" relativeIndent="1" justifyLastLine="0" shrinkToFit="0" readingOrder="0"/>
    </dxf>
    <dxf>
      <border>
        <bottom style="thin">
          <color theme="2" tint="-0.8999298074282051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ova"/>
        <family val="2"/>
        <scheme val="none"/>
      </font>
      <fill>
        <patternFill patternType="solid">
          <fgColor indexed="64"/>
          <bgColor rgb="FFE32827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2" tint="-0.89996032593768116"/>
        </left>
        <right style="thin">
          <color theme="2" tint="-0.89996032593768116"/>
        </right>
        <top/>
        <bottom/>
      </border>
    </dxf>
  </dxfs>
  <tableStyles count="0" defaultTableStyle="TableStyleMedium2" defaultPivotStyle="PivotStyleLight16"/>
  <colors>
    <mruColors>
      <color rgb="FFE32827"/>
      <color rgb="FF8D8E8E"/>
      <color rgb="FF262628"/>
      <color rgb="FF065A98"/>
      <color rgb="FF0033CC"/>
      <color rgb="FFDDE5FF"/>
      <color rgb="FFC5D3FF"/>
      <color rgb="FFB7C8FF"/>
      <color rgb="FF7D9CFF"/>
      <color rgb="FFE5E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1206500</xdr:colOff>
      <xdr:row>1</xdr:row>
      <xdr:rowOff>0</xdr:rowOff>
    </xdr:from>
    <xdr:to>
      <xdr:col>8</xdr:col>
      <xdr:colOff>2152</xdr:colOff>
      <xdr:row>5</xdr:row>
      <xdr:rowOff>96526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49875E2-240A-4DF9-AD76-2FD12F0CF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1786" y="163286"/>
          <a:ext cx="2714587" cy="1369784"/>
        </a:xfrm>
        <a:prstGeom prst="rect">
          <a:avLst/>
        </a:prstGeom>
      </xdr:spPr>
    </xdr:pic>
    <xdr:clientData/>
  </xdr:twoCellAnchor>
  <xdr:twoCellAnchor editAs="oneCell">
    <xdr:from>
      <xdr:col>2</xdr:col>
      <xdr:colOff>1601530</xdr:colOff>
      <xdr:row>31</xdr:row>
      <xdr:rowOff>132535</xdr:rowOff>
    </xdr:from>
    <xdr:to>
      <xdr:col>7</xdr:col>
      <xdr:colOff>686687</xdr:colOff>
      <xdr:row>36</xdr:row>
      <xdr:rowOff>131248</xdr:rowOff>
    </xdr:to>
    <xdr:pic>
      <xdr:nvPicPr>
        <xdr:cNvPr id="2" name="Picture 1" descr="A black and white logo&#10;&#10;Description automatically generated">
          <a:extLst>
            <a:ext uri="{FF2B5EF4-FFF2-40B4-BE49-F238E27FC236}">
              <a16:creationId xmlns:a16="http://schemas.microsoft.com/office/drawing/2014/main" id="{1714A027-B2B7-A0AD-01F0-710D16660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21763" y="11761895"/>
          <a:ext cx="5508994" cy="1041369"/>
        </a:xfrm>
        <a:prstGeom prst="rect">
          <a:avLst/>
        </a:prstGeom>
        <a:solidFill>
          <a:schemeClr val="bg1">
            <a:lumMod val="95000"/>
          </a:schemeClr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257175</xdr:colOff>
      <xdr:row>1</xdr:row>
      <xdr:rowOff>174625</xdr:rowOff>
    </xdr:from>
    <xdr:to>
      <xdr:col>3</xdr:col>
      <xdr:colOff>2774901</xdr:colOff>
      <xdr:row>4</xdr:row>
      <xdr:rowOff>412573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6E17AB2-3C3F-4008-BD2A-BAB2AEA3D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1850" y="365125"/>
          <a:ext cx="3959176" cy="20699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EV-ENN-FS3\QS%20Department\QS%20Project%20Share\C1788%20-%2081%20Newgate%20Street\3.%20Variations\C1788%2081%20NGS%20Variation%20Register.xlsm" TargetMode="External"/><Relationship Id="rId1" Type="http://schemas.openxmlformats.org/officeDocument/2006/relationships/externalLinkPath" Target="https://jetsteelcouk-my.sharepoint.com/QS%20Project%20Share/C1788%20-%2081%20Newgate%20Street/3.%20Variations/C1788%2081%20NGS%20Variation%20Register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000%20Projects%20Live\Projects%20P24-\P24-1133%20Ballinrees%20WTW\16.%20Commercial\3.%20Variations\P24_1133%20WTW%20Ballinrees%20Variation%20Register.xlsx" TargetMode="External"/><Relationship Id="rId1" Type="http://schemas.openxmlformats.org/officeDocument/2006/relationships/externalLinkPath" Target="/000%20Projects%20Live/Projects%20P24-/P24-1133%20Ballinrees%20WTW/16.%20Commercial/3.%20Variations/P24_1133%20WTW%20Ballinrees%20Variation%20Register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jetsteelcouk-my.sharepoint.com/personal/andrew_jetsteel_co_uk/Documents/1.%20Project%20Portal/1.%20Quantity%20Surveying%20-%20Live%20Projects/016-CRE%20-%20Dub%2010/3.%20Variations/CRE_%20Variation%20Register.xlsm" TargetMode="External"/><Relationship Id="rId1" Type="http://schemas.openxmlformats.org/officeDocument/2006/relationships/externalLinkPath" Target="https://jetsteelcouk-my.sharepoint.com/personal/andrew_jetsteel_co_uk/Documents/1.%20Project%20Portal/1.%20Quantity%20Surveying%20-%20Live%20Projects/016-CRE%20-%20Dub%2010/3.%20Variations/CRE_%20Variation%20Register.xlsm" TargetMode="External"/></Relationships>
</file>

<file path=xl/externalLinks/_rels/externalLink4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jetsteelcouk-my.sharepoint.com/personal/andrew_jetsteel_co_uk/Documents/1.%20Project%20Portal/2.%20Estimating/111-SSEL-Ballinrees%20Water%20Treatment%20Works/4.%20Pricing/111-SSEL%20Ballinrees%20Water%20Treatment%20Works%20Estimating%20Schedule_COMBINED%20VERSION%2005.02.xlsx" TargetMode="External"/><Relationship Id="rId2" Type="http://schemas.microsoft.com/office/2019/04/relationships/externalLinkLongPath" Target="https://jetsteelcouk-my.sharepoint.com/personal/andrew_jetsteel_co_uk/Documents/1.%20Project%20Portal/2.%20Estimating/111-SSEL-Ballinrees%20Water%20Treatment%20Works/4.%20Pricing/111-SSEL%20Ballinrees%20Water%20Treatment%20Works%20Estimating%20Schedule_COMBINED%20VERSION%2005.02.xlsx?3C696305" TargetMode="External"/><Relationship Id="rId1" Type="http://schemas.openxmlformats.org/officeDocument/2006/relationships/externalLinkPath" Target="file:///\\3C696305\111-SSEL%20Ballinrees%20Water%20Treatment%20Works%20Estimating%20Schedule_COMBINED%20VERSION%2005.02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jetsteelcouk-my.sharepoint.com/personal/andrew_jetsteel_co_uk/Documents/1.%20Project%20Portal/2.%20Estimating/076-SSEL%20PJD%20Supplies%20Ballygawley/076-SSEL%20PJD%20Supplies%20Ballygawley%20-%20Estimating%20Folder.xlsx" TargetMode="External"/><Relationship Id="rId1" Type="http://schemas.openxmlformats.org/officeDocument/2006/relationships/externalLinkPath" Target="https://jetsteelcouk-my.sharepoint.com/personal/andrew_jetsteel_co_uk/Documents/1.%20Project%20Portal/2.%20Estimating/076-SSEL%20PJD%20Supplies%20Ballygawley/076-SSEL%20PJD%20Supplies%20Ballygawley%20-%20Estimating%20Fold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B1" t="str">
            <v>Description</v>
          </cell>
          <cell r="G1" t="str">
            <v>Description</v>
          </cell>
        </row>
        <row r="2">
          <cell r="B2" t="str">
            <v xml:space="preserve"> Design Director</v>
          </cell>
          <cell r="G2" t="str">
            <v>Spider crane &lt; 8.8m</v>
          </cell>
        </row>
        <row r="3">
          <cell r="B3" t="str">
            <v xml:space="preserve"> Design Manager</v>
          </cell>
          <cell r="G3" t="str">
            <v>Spider crane 8.8 - 10.0m</v>
          </cell>
        </row>
        <row r="4">
          <cell r="B4" t="str">
            <v xml:space="preserve"> Design Engineer</v>
          </cell>
          <cell r="G4" t="str">
            <v>Spider crane 10.0 - 15.0m</v>
          </cell>
        </row>
        <row r="5">
          <cell r="B5" t="str">
            <v xml:space="preserve"> Graduate Engineer</v>
          </cell>
          <cell r="G5" t="str">
            <v>Spider crane 15.0 - 17.0m</v>
          </cell>
        </row>
        <row r="6">
          <cell r="B6" t="str">
            <v xml:space="preserve"> Drawing Office Manager</v>
          </cell>
          <cell r="G6" t="str">
            <v>Scissor Lift &lt; 9.0m</v>
          </cell>
        </row>
        <row r="7">
          <cell r="B7" t="str">
            <v xml:space="preserve"> Draughtsman</v>
          </cell>
          <cell r="G7" t="str">
            <v>Scissor Lift 9.0 - 10.0m</v>
          </cell>
        </row>
        <row r="8">
          <cell r="B8" t="str">
            <v xml:space="preserve"> Document Controller</v>
          </cell>
          <cell r="G8" t="str">
            <v>Scissor Lift 9.8m</v>
          </cell>
        </row>
        <row r="9">
          <cell r="B9" t="str">
            <v xml:space="preserve"> Associate Commercial Director</v>
          </cell>
          <cell r="G9" t="str">
            <v>Scissor Lift 10.0 - 12.0m</v>
          </cell>
        </row>
        <row r="10">
          <cell r="B10" t="str">
            <v xml:space="preserve"> Senior Quantity Surveyor</v>
          </cell>
          <cell r="G10" t="str">
            <v>Scissor Lift 12.0 - 15.0m</v>
          </cell>
        </row>
        <row r="11">
          <cell r="B11" t="str">
            <v xml:space="preserve"> Quantity Surveyor</v>
          </cell>
          <cell r="G11" t="str">
            <v>Scissor Lift 15.0 - 16.0m</v>
          </cell>
        </row>
        <row r="12">
          <cell r="B12" t="str">
            <v xml:space="preserve"> Assistant Quantity Surveyor</v>
          </cell>
          <cell r="G12" t="str">
            <v>Genie Z33/18</v>
          </cell>
        </row>
        <row r="13">
          <cell r="B13" t="str">
            <v xml:space="preserve"> Associate Project Director</v>
          </cell>
          <cell r="G13" t="str">
            <v>Genie Z34/22</v>
          </cell>
        </row>
        <row r="14">
          <cell r="B14" t="str">
            <v xml:space="preserve"> Senior Project Manager</v>
          </cell>
          <cell r="G14" t="str">
            <v>JLG 340AJ</v>
          </cell>
        </row>
        <row r="15">
          <cell r="B15" t="str">
            <v xml:space="preserve"> Project Manager</v>
          </cell>
          <cell r="G15" t="str">
            <v>NIFTY HR12 2x4</v>
          </cell>
        </row>
        <row r="16">
          <cell r="B16" t="str">
            <v xml:space="preserve"> Assistant Project Manager</v>
          </cell>
          <cell r="G16" t="str">
            <v>Genie Z45/25J RT 4x4</v>
          </cell>
        </row>
        <row r="17">
          <cell r="B17" t="str">
            <v xml:space="preserve"> Construction Manager</v>
          </cell>
          <cell r="G17" t="str">
            <v>JLG 450AJ yr2019</v>
          </cell>
        </row>
        <row r="18">
          <cell r="B18" t="str">
            <v xml:space="preserve"> Site H&amp;S Manager</v>
          </cell>
          <cell r="G18" t="str">
            <v>JLG 460SJ</v>
          </cell>
        </row>
        <row r="19">
          <cell r="B19" t="str">
            <v xml:space="preserve"> Site Manager</v>
          </cell>
          <cell r="G19" t="str">
            <v>SkyJack SJ46AJ</v>
          </cell>
        </row>
        <row r="20">
          <cell r="B20" t="str">
            <v xml:space="preserve"> Foreman</v>
          </cell>
          <cell r="G20" t="str">
            <v>NIFTY HR12 4x4</v>
          </cell>
        </row>
        <row r="21">
          <cell r="B21" t="str">
            <v xml:space="preserve"> Erector</v>
          </cell>
          <cell r="G21" t="str">
            <v>NIFTY HR15</v>
          </cell>
        </row>
        <row r="22">
          <cell r="B22" t="str">
            <v xml:space="preserve"> Welder</v>
          </cell>
          <cell r="G22" t="str">
            <v>NIFTY HR17</v>
          </cell>
        </row>
        <row r="23">
          <cell r="B23" t="str">
            <v xml:space="preserve"> Engineer</v>
          </cell>
          <cell r="G23" t="str">
            <v>NIFTY HR12 4x4 (in frame)</v>
          </cell>
        </row>
        <row r="24">
          <cell r="B24" t="str">
            <v xml:space="preserve"> Painter</v>
          </cell>
          <cell r="G24" t="str">
            <v>Genie Z60/34</v>
          </cell>
        </row>
        <row r="25">
          <cell r="B25" t="str">
            <v xml:space="preserve"> Site Administrator</v>
          </cell>
          <cell r="G25" t="str">
            <v>Genie Z60/37</v>
          </cell>
        </row>
        <row r="26">
          <cell r="B26" t="str">
            <v>Decker</v>
          </cell>
          <cell r="G26" t="str">
            <v>Genie Z62/40</v>
          </cell>
        </row>
        <row r="27">
          <cell r="B27" t="str">
            <v>Decker (OT)</v>
          </cell>
          <cell r="G27" t="str">
            <v>JLG 600AJ</v>
          </cell>
        </row>
        <row r="28">
          <cell r="B28"/>
          <cell r="G28" t="str">
            <v>Skyjack SJ63AJ</v>
          </cell>
        </row>
        <row r="29">
          <cell r="B29"/>
          <cell r="G29" t="str">
            <v>Genie S65 (Stick Boom)</v>
          </cell>
        </row>
        <row r="30">
          <cell r="B30"/>
          <cell r="G30" t="str">
            <v>JLG 660SJ (Stick Boom)</v>
          </cell>
        </row>
        <row r="31">
          <cell r="B31"/>
          <cell r="G31" t="str">
            <v>NIFTY HR21</v>
          </cell>
        </row>
        <row r="32">
          <cell r="B32"/>
          <cell r="G32" t="str">
            <v>Genie Z80/60</v>
          </cell>
        </row>
        <row r="33">
          <cell r="B33" t="str">
            <v xml:space="preserve"> </v>
          </cell>
          <cell r="G33" t="str">
            <v>JLG 800AJ</v>
          </cell>
        </row>
        <row r="34">
          <cell r="G34" t="str">
            <v>Skyjack SJ85AJ</v>
          </cell>
        </row>
        <row r="35">
          <cell r="G35" t="str">
            <v>Genie S85 (Stick boom)</v>
          </cell>
        </row>
        <row r="36">
          <cell r="G36" t="str">
            <v>Rotabroach Drill</v>
          </cell>
        </row>
        <row r="37">
          <cell r="G37" t="str">
            <v>Grinder</v>
          </cell>
        </row>
        <row r="38">
          <cell r="G38" t="str">
            <v>Burning gear (excluding gases)</v>
          </cell>
        </row>
        <row r="39">
          <cell r="G39" t="str">
            <v>Welding plant - MIG/MMA 200 amp</v>
          </cell>
        </row>
        <row r="40">
          <cell r="G40" t="str">
            <v>Chain Blocks</v>
          </cell>
        </row>
      </sheetData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ariation Register"/>
      <sheetName val="Daywork Rates"/>
      <sheetName val="Daywork_Tracker"/>
    </sheetNames>
    <sheetDataSet>
      <sheetData sheetId="0"/>
      <sheetData sheetId="1">
        <row r="1">
          <cell r="B1" t="str">
            <v>Description</v>
          </cell>
          <cell r="G1" t="str">
            <v>Description</v>
          </cell>
        </row>
        <row r="2">
          <cell r="B2" t="str">
            <v xml:space="preserve"> Design Director</v>
          </cell>
          <cell r="G2" t="str">
            <v>Spider crane &lt; 8.8m</v>
          </cell>
        </row>
        <row r="3">
          <cell r="B3" t="str">
            <v xml:space="preserve"> Design Manager</v>
          </cell>
          <cell r="G3" t="str">
            <v>Spider crane 8.8 - 10.0m</v>
          </cell>
        </row>
        <row r="4">
          <cell r="B4" t="str">
            <v xml:space="preserve"> Design Engineer</v>
          </cell>
          <cell r="G4" t="str">
            <v>Spider crane 10.0 - 15.0m</v>
          </cell>
        </row>
        <row r="5">
          <cell r="B5" t="str">
            <v xml:space="preserve"> Graduate Engineer</v>
          </cell>
          <cell r="G5" t="str">
            <v>Spider crane 15.0 - 17.0m</v>
          </cell>
        </row>
        <row r="6">
          <cell r="B6" t="str">
            <v xml:space="preserve"> Drawing Office Manager</v>
          </cell>
          <cell r="G6" t="str">
            <v>Scissor Lift &lt; 9.0m</v>
          </cell>
        </row>
        <row r="7">
          <cell r="B7" t="str">
            <v xml:space="preserve"> Draughtsman</v>
          </cell>
          <cell r="G7" t="str">
            <v>Scissor Lift 9.0 - 10.0m</v>
          </cell>
        </row>
        <row r="8">
          <cell r="B8" t="str">
            <v xml:space="preserve"> Document Controller</v>
          </cell>
          <cell r="G8" t="str">
            <v>Scissor Lift 9.8m</v>
          </cell>
        </row>
        <row r="9">
          <cell r="B9" t="str">
            <v xml:space="preserve"> Associate Commercial Director</v>
          </cell>
          <cell r="G9" t="str">
            <v>Scissor Lift 10.0 - 12.0m</v>
          </cell>
        </row>
        <row r="10">
          <cell r="B10" t="str">
            <v xml:space="preserve"> Senior Quantity Surveyor</v>
          </cell>
          <cell r="G10" t="str">
            <v>Scissor Lift 12.0 - 15.0m</v>
          </cell>
        </row>
        <row r="11">
          <cell r="B11" t="str">
            <v xml:space="preserve"> Quantity Surveyor</v>
          </cell>
          <cell r="G11" t="str">
            <v>Scissor Lift 15.0 - 16.0m</v>
          </cell>
        </row>
        <row r="12">
          <cell r="B12" t="str">
            <v xml:space="preserve"> Assistant Quantity Surveyor</v>
          </cell>
          <cell r="G12" t="str">
            <v>Genie Z33/18</v>
          </cell>
        </row>
        <row r="13">
          <cell r="B13" t="str">
            <v xml:space="preserve"> Associate Project Director</v>
          </cell>
          <cell r="G13" t="str">
            <v>Genie Z34/22</v>
          </cell>
        </row>
        <row r="14">
          <cell r="B14" t="str">
            <v xml:space="preserve"> Senior Project Manager</v>
          </cell>
          <cell r="G14" t="str">
            <v>JLG 340AJ</v>
          </cell>
        </row>
        <row r="15">
          <cell r="B15" t="str">
            <v xml:space="preserve"> Project Manager</v>
          </cell>
          <cell r="G15" t="str">
            <v>NIFTY HR12 2x4</v>
          </cell>
        </row>
        <row r="16">
          <cell r="B16" t="str">
            <v xml:space="preserve"> Assistant Project Manager</v>
          </cell>
          <cell r="G16" t="str">
            <v>Genie Z45/25J RT 4x4</v>
          </cell>
        </row>
        <row r="17">
          <cell r="B17" t="str">
            <v xml:space="preserve"> Construction Manager</v>
          </cell>
          <cell r="G17" t="str">
            <v>JLG 450AJ yr2019</v>
          </cell>
        </row>
        <row r="18">
          <cell r="B18" t="str">
            <v xml:space="preserve"> Site H&amp;S Manager</v>
          </cell>
          <cell r="G18" t="str">
            <v>JLG 460SJ</v>
          </cell>
        </row>
        <row r="19">
          <cell r="B19" t="str">
            <v xml:space="preserve"> Site Manager</v>
          </cell>
          <cell r="G19" t="str">
            <v>SkyJack SJ46AJ</v>
          </cell>
        </row>
        <row r="20">
          <cell r="B20" t="str">
            <v xml:space="preserve"> Foreman</v>
          </cell>
          <cell r="G20" t="str">
            <v>NIFTY HR12 4x4</v>
          </cell>
        </row>
        <row r="21">
          <cell r="B21" t="str">
            <v xml:space="preserve"> Erector</v>
          </cell>
          <cell r="G21" t="str">
            <v>NIFTY HR15</v>
          </cell>
        </row>
        <row r="22">
          <cell r="B22" t="str">
            <v xml:space="preserve"> Welder</v>
          </cell>
          <cell r="G22" t="str">
            <v>NIFTY HR17</v>
          </cell>
        </row>
        <row r="23">
          <cell r="B23" t="str">
            <v xml:space="preserve"> Engineer</v>
          </cell>
          <cell r="G23" t="str">
            <v>NIFTY HR12 4x4 (in frame)</v>
          </cell>
        </row>
        <row r="24">
          <cell r="B24" t="str">
            <v xml:space="preserve"> Painter</v>
          </cell>
          <cell r="G24" t="str">
            <v>Genie Z60/34</v>
          </cell>
        </row>
        <row r="25">
          <cell r="B25" t="str">
            <v xml:space="preserve"> Site Administrator</v>
          </cell>
          <cell r="G25" t="str">
            <v>Genie Z60/37</v>
          </cell>
        </row>
        <row r="26">
          <cell r="G26" t="str">
            <v>Genie Z62/40</v>
          </cell>
        </row>
        <row r="27">
          <cell r="G27" t="str">
            <v>JLG 600AJ</v>
          </cell>
        </row>
        <row r="28">
          <cell r="G28" t="str">
            <v>Skyjack SJ63AJ</v>
          </cell>
        </row>
        <row r="29">
          <cell r="G29" t="str">
            <v>Genie S65 (Stick Boom)</v>
          </cell>
        </row>
        <row r="30">
          <cell r="G30" t="str">
            <v>JLG 660SJ (Stick Boom)</v>
          </cell>
        </row>
        <row r="31">
          <cell r="G31" t="str">
            <v>NIFTY HR21</v>
          </cell>
        </row>
        <row r="32">
          <cell r="G32" t="str">
            <v>Genie Z80/60</v>
          </cell>
        </row>
        <row r="33">
          <cell r="B33" t="str">
            <v xml:space="preserve"> </v>
          </cell>
          <cell r="G33" t="str">
            <v>JLG 800AJ</v>
          </cell>
        </row>
        <row r="34">
          <cell r="G34" t="str">
            <v>Skyjack SJ85AJ</v>
          </cell>
        </row>
        <row r="35">
          <cell r="G35" t="str">
            <v>Genie S85 (Stick boom)</v>
          </cell>
        </row>
        <row r="36">
          <cell r="G36" t="str">
            <v>Rotabroach Drill</v>
          </cell>
        </row>
        <row r="37">
          <cell r="G37" t="str">
            <v>Grinder</v>
          </cell>
        </row>
        <row r="38">
          <cell r="G38" t="str">
            <v>Burning gear (excluding gases)</v>
          </cell>
        </row>
        <row r="39">
          <cell r="G39" t="str">
            <v>Welding plant - MIG/MMA 200 amp</v>
          </cell>
        </row>
        <row r="40">
          <cell r="G40" t="str">
            <v>Telehandler 7T</v>
          </cell>
        </row>
        <row r="41">
          <cell r="G41" t="str">
            <v>MK140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ariation Register"/>
      <sheetName val="Daywork_Tracker"/>
      <sheetName val="Dayworks_Pivot"/>
      <sheetName val="Drawing Office VO Tracker"/>
      <sheetName val="Daywork Rates"/>
      <sheetName val="Admin.Input"/>
      <sheetName val="Drawing Register"/>
      <sheetName val="ENG Drg. Reg"/>
      <sheetName val="CRE_ Variation Register"/>
    </sheetNames>
    <sheetDataSet>
      <sheetData sheetId="0"/>
      <sheetData sheetId="1"/>
      <sheetData sheetId="2" refreshError="1"/>
      <sheetData sheetId="3">
        <row r="1">
          <cell r="B1" t="str">
            <v xml:space="preserve">VO </v>
          </cell>
        </row>
      </sheetData>
      <sheetData sheetId="4">
        <row r="1">
          <cell r="C1" t="str">
            <v>Rate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Summary"/>
      <sheetName val="IFP"/>
      <sheetName val="Model_Take_Off"/>
      <sheetName val="Model_Take_Off_PIVOT"/>
      <sheetName val="Steel_Pricing"/>
      <sheetName val="Cold-Rolled_Pricing"/>
      <sheetName val="Budget_Sheet"/>
      <sheetName val="Budget_Dashboard"/>
      <sheetName val="Final_BoQ"/>
      <sheetName val="Sheet1"/>
      <sheetName val="BoQ_PIVO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rw_Reg"/>
      <sheetName val="Sheet2"/>
      <sheetName val="Database.Input"/>
      <sheetName val="Model List"/>
      <sheetName val="Steel Take Off"/>
      <sheetName val="Admin.Input"/>
      <sheetName val="Pricing £"/>
      <sheetName val="Cladding £"/>
      <sheetName val="Budget Dashboard"/>
      <sheetName val="BOQ"/>
      <sheetName val="076-SSEL PJD Supplies Ballygawl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H1" t="str">
            <v>BoQ Ref</v>
          </cell>
        </row>
      </sheetData>
      <sheetData sheetId="7"/>
      <sheetData sheetId="8"/>
      <sheetData sheetId="9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w Thompson" refreshedDate="45566.390810069446" createdVersion="8" refreshedVersion="8" minRefreshableVersion="3" recordCount="43" xr:uid="{BEE69B30-1BE7-4838-B0AA-5AAEF71D27DF}">
  <cacheSource type="worksheet">
    <worksheetSource name="Table18"/>
  </cacheSource>
  <cacheFields count="11">
    <cacheField name="Ref " numFmtId="0">
      <sharedItems containsString="0" containsBlank="1" containsNumber="1" containsInteger="1" minValue="1" maxValue="39"/>
    </cacheField>
    <cacheField name="Item" numFmtId="0">
      <sharedItems containsBlank="1"/>
    </cacheField>
    <cacheField name="Cat" numFmtId="0">
      <sharedItems containsBlank="1" count="4">
        <m/>
        <s v="Steel"/>
        <s v="Cold Rolled"/>
        <s v="Fittings" u="1"/>
      </sharedItems>
    </cacheField>
    <cacheField name="Type" numFmtId="0">
      <sharedItems containsBlank="1"/>
    </cacheField>
    <cacheField name="Zone" numFmtId="172">
      <sharedItems containsBlank="1" count="4">
        <m/>
        <s v="Unit 2"/>
        <s v="Unit 3"/>
        <s v=""/>
      </sharedItems>
    </cacheField>
    <cacheField name="ACW" numFmtId="178">
      <sharedItems containsString="0" containsBlank="1" containsNumber="1" minValue="44.524999999999999" maxValue="1372.1863636363637"/>
    </cacheField>
    <cacheField name="Pcs" numFmtId="0">
      <sharedItems containsString="0" containsBlank="1" containsNumber="1" containsInteger="1" minValue="1" maxValue="40"/>
    </cacheField>
    <cacheField name="QTY" numFmtId="171">
      <sharedItems containsString="0" containsBlank="1" containsNumber="1" minValue="0.21327000000000002" maxValue="1160"/>
    </cacheField>
    <cacheField name="Unit" numFmtId="167">
      <sharedItems containsBlank="1"/>
    </cacheField>
    <cacheField name="Rate " numFmtId="44">
      <sharedItems containsBlank="1" containsMixedTypes="1" containsNumber="1" minValue="15.25" maxValue="4900"/>
    </cacheField>
    <cacheField name="Total " numFmtId="44">
      <sharedItems containsString="0" containsBlank="1" containsNumber="1" minValue="714.45450000000005" maxValue="255083.790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m/>
    <m/>
    <x v="0"/>
    <m/>
    <x v="0"/>
    <m/>
    <m/>
    <m/>
    <m/>
    <m/>
    <m/>
  </r>
  <r>
    <m/>
    <s v="Steelwork Supply &amp; Install"/>
    <x v="0"/>
    <m/>
    <x v="0"/>
    <m/>
    <m/>
    <m/>
    <m/>
    <m/>
    <m/>
  </r>
  <r>
    <n v="1"/>
    <s v="CHS139.7*5.0"/>
    <x v="1"/>
    <s v="Beam"/>
    <x v="1"/>
    <n v="108.66"/>
    <n v="2"/>
    <n v="0.21731999999999999"/>
    <s v="tonne"/>
    <n v="3400"/>
    <n v="738.88799999999992"/>
  </r>
  <r>
    <n v="2"/>
    <s v="PFC-200*90*30"/>
    <x v="1"/>
    <s v="Beam"/>
    <x v="1"/>
    <n v="146.98899999999995"/>
    <n v="40"/>
    <n v="5.8795599999999979"/>
    <s v="tonne"/>
    <n v="2375"/>
    <n v="13963.954999999994"/>
  </r>
  <r>
    <n v="3"/>
    <s v="SHS140*140*5.0"/>
    <x v="1"/>
    <s v="Beam"/>
    <x v="1"/>
    <n v="140.97166666666669"/>
    <n v="6"/>
    <n v="0.84583000000000008"/>
    <s v="tonne"/>
    <n v="2975"/>
    <n v="2516.3442500000001"/>
  </r>
  <r>
    <n v="4"/>
    <s v="SHS160*160*6.3"/>
    <x v="1"/>
    <s v="Beam"/>
    <x v="1"/>
    <n v="138.36499999999998"/>
    <n v="2"/>
    <n v="0.27672999999999998"/>
    <s v="tonne"/>
    <n v="3450"/>
    <n v="954.71849999999995"/>
  </r>
  <r>
    <n v="5"/>
    <s v="SHS200*200*8.0"/>
    <x v="1"/>
    <s v="Beam"/>
    <x v="1"/>
    <n v="303.93"/>
    <n v="2"/>
    <n v="0.60786000000000007"/>
    <s v="tonne"/>
    <n v="2450"/>
    <n v="1489.2570000000001"/>
  </r>
  <r>
    <n v="6"/>
    <s v="UB203*133*25"/>
    <x v="1"/>
    <s v="Beam"/>
    <x v="1"/>
    <n v="136.92571428571429"/>
    <n v="7"/>
    <n v="0.95848"/>
    <s v="tonne"/>
    <n v="2675"/>
    <n v="2563.9340000000002"/>
  </r>
  <r>
    <n v="7"/>
    <s v="UB457*152*52"/>
    <x v="1"/>
    <s v="Beam"/>
    <x v="1"/>
    <n v="572.56600000000003"/>
    <n v="10"/>
    <n v="5.7256600000000004"/>
    <s v="tonne"/>
    <n v="1600"/>
    <n v="9161.0560000000005"/>
  </r>
  <r>
    <n v="8"/>
    <s v="CHS114.3*5.0"/>
    <x v="1"/>
    <s v="Bracing"/>
    <x v="1"/>
    <n v="101.13083333333334"/>
    <n v="12"/>
    <n v="1.21357"/>
    <s v="tonne"/>
    <n v="3475"/>
    <n v="4217.1557499999999"/>
  </r>
  <r>
    <n v="9"/>
    <s v="CHS139.7*5.0"/>
    <x v="1"/>
    <s v="Bracing"/>
    <x v="1"/>
    <n v="110.155"/>
    <n v="2"/>
    <n v="0.22031000000000001"/>
    <s v="tonne"/>
    <n v="3375"/>
    <n v="743.54624999999999"/>
  </r>
  <r>
    <n v="10"/>
    <s v="CHS168.3*5.0"/>
    <x v="1"/>
    <s v="Bracing"/>
    <x v="1"/>
    <n v="159.8775"/>
    <n v="4"/>
    <n v="0.63951000000000002"/>
    <s v="tonne"/>
    <n v="2950"/>
    <n v="1886.5545"/>
  </r>
  <r>
    <n v="11"/>
    <s v="PFC-200*90*30"/>
    <x v="1"/>
    <s v="Column"/>
    <x v="1"/>
    <n v="230.9242857142857"/>
    <n v="14"/>
    <n v="3.2329399999999997"/>
    <s v="tonne"/>
    <n v="1875"/>
    <n v="6061.7624999999998"/>
  </r>
  <r>
    <n v="12"/>
    <s v="UB203*133*25"/>
    <x v="1"/>
    <s v="Column"/>
    <x v="1"/>
    <n v="44.524999999999999"/>
    <n v="18"/>
    <n v="0.80145"/>
    <s v="tonne"/>
    <n v="4600"/>
    <n v="3686.67"/>
  </r>
  <r>
    <n v="13"/>
    <s v="UB356*171*45"/>
    <x v="1"/>
    <s v="Column"/>
    <x v="1"/>
    <n v="398.72250000000003"/>
    <n v="8"/>
    <n v="3.1897800000000003"/>
    <s v="tonne"/>
    <n v="1700"/>
    <n v="5422.6260000000002"/>
  </r>
  <r>
    <n v="14"/>
    <s v="UB457*152*67"/>
    <x v="1"/>
    <s v="Column"/>
    <x v="1"/>
    <n v="605.13166666666677"/>
    <n v="6"/>
    <n v="3.6307900000000002"/>
    <s v="tonne"/>
    <n v="1600"/>
    <n v="5809.2640000000001"/>
  </r>
  <r>
    <n v="15"/>
    <s v="UB356*127*33"/>
    <x v="1"/>
    <s v="Purlin"/>
    <x v="1"/>
    <n v="138.45750000000001"/>
    <n v="4"/>
    <n v="0.55383000000000004"/>
    <s v="tonne"/>
    <n v="3075"/>
    <n v="1703.0272500000001"/>
  </r>
  <r>
    <n v="16"/>
    <s v="CHS139.7*5.0"/>
    <x v="1"/>
    <s v="Beam"/>
    <x v="2"/>
    <n v="109.07166666666666"/>
    <n v="6"/>
    <n v="0.65442999999999996"/>
    <s v="tonne"/>
    <n v="3400"/>
    <n v="2225.0619999999999"/>
  </r>
  <r>
    <n v="17"/>
    <s v="PFC-200*75*23"/>
    <x v="1"/>
    <s v="Beam"/>
    <x v="2"/>
    <n v="156.34409090909091"/>
    <n v="22"/>
    <n v="3.4395699999999998"/>
    <s v="tonne"/>
    <n v="2225"/>
    <n v="7653.0432499999997"/>
  </r>
  <r>
    <n v="18"/>
    <s v="PFC-200*90*30"/>
    <x v="1"/>
    <s v="Beam"/>
    <x v="2"/>
    <n v="197.6340909090909"/>
    <n v="22"/>
    <n v="4.34795"/>
    <s v="tonne"/>
    <n v="2025"/>
    <n v="8804.5987499999992"/>
  </r>
  <r>
    <n v="19"/>
    <s v="SHS160*160*5.0"/>
    <x v="1"/>
    <s v="Beam"/>
    <x v="2"/>
    <n v="194.68"/>
    <n v="8"/>
    <n v="1.5574400000000002"/>
    <s v="tonne"/>
    <n v="2775"/>
    <n v="4321.8960000000006"/>
  </r>
  <r>
    <n v="20"/>
    <s v="SHS200*200*8.0"/>
    <x v="1"/>
    <s v="Beam"/>
    <x v="2"/>
    <n v="346.88499999999999"/>
    <n v="2"/>
    <n v="0.69377"/>
    <s v="tonne"/>
    <n v="2325"/>
    <n v="1613.0152499999999"/>
  </r>
  <r>
    <n v="21"/>
    <s v="UB203*133*25"/>
    <x v="1"/>
    <s v="Beam"/>
    <x v="2"/>
    <n v="144.977"/>
    <n v="10"/>
    <n v="1.44977"/>
    <s v="tonne"/>
    <n v="2575"/>
    <n v="3733.1577499999999"/>
  </r>
  <r>
    <n v="22"/>
    <s v="UB305*165*46"/>
    <x v="1"/>
    <s v="Beam"/>
    <x v="2"/>
    <n v="345.964"/>
    <n v="20"/>
    <n v="6.9192799999999997"/>
    <s v="tonne"/>
    <n v="1800"/>
    <n v="12454.704"/>
  </r>
  <r>
    <n v="23"/>
    <s v="UB533*210*82"/>
    <x v="1"/>
    <s v="Beam"/>
    <x v="2"/>
    <n v="1372.1863636363637"/>
    <n v="11"/>
    <n v="15.094049999999999"/>
    <s v="tonne"/>
    <n v="1250"/>
    <n v="18867.5625"/>
  </r>
  <r>
    <n v="24"/>
    <s v="CHS114.3*5.0"/>
    <x v="1"/>
    <s v="Bracing"/>
    <x v="2"/>
    <n v="102.87535714285713"/>
    <n v="28"/>
    <n v="2.8805099999999997"/>
    <s v="tonne"/>
    <n v="3450"/>
    <n v="9937.7594999999983"/>
  </r>
  <r>
    <n v="25"/>
    <s v="CHS139.7*5.0"/>
    <x v="1"/>
    <s v="Bracing"/>
    <x v="2"/>
    <n v="109.795"/>
    <n v="2"/>
    <n v="0.21959000000000001"/>
    <s v="tonne"/>
    <n v="3375"/>
    <n v="741.11625000000004"/>
  </r>
  <r>
    <n v="26"/>
    <s v="CHS168.3*5.0"/>
    <x v="1"/>
    <s v="Bracing"/>
    <x v="2"/>
    <n v="179.215"/>
    <n v="4"/>
    <n v="0.71686000000000005"/>
    <s v="tonne"/>
    <n v="2800"/>
    <n v="2007.2080000000001"/>
  </r>
  <r>
    <n v="27"/>
    <s v="SHS300*300*16.0"/>
    <x v="1"/>
    <s v="Column"/>
    <x v="2"/>
    <n v="906.44"/>
    <n v="1"/>
    <n v="0.90644000000000002"/>
    <s v="tonne"/>
    <n v="2150"/>
    <n v="1948.846"/>
  </r>
  <r>
    <n v="28"/>
    <s v="UB203*133*25"/>
    <x v="1"/>
    <s v="Column"/>
    <x v="2"/>
    <n v="49.411818181818177"/>
    <n v="22"/>
    <n v="1.0870599999999999"/>
    <s v="tonne"/>
    <n v="4900"/>
    <n v="5326.5939999999991"/>
  </r>
  <r>
    <n v="29"/>
    <s v="UB356*171*45"/>
    <x v="1"/>
    <s v="Column"/>
    <x v="2"/>
    <n v="440.97818181818178"/>
    <n v="11"/>
    <n v="4.8507599999999993"/>
    <s v="tonne"/>
    <n v="1625"/>
    <n v="7882.4849999999988"/>
  </r>
  <r>
    <n v="30"/>
    <s v="UB686*254*125"/>
    <x v="1"/>
    <s v="Column"/>
    <x v="2"/>
    <n v="1192.8340000000001"/>
    <n v="10"/>
    <n v="11.92834"/>
    <s v="tonne"/>
    <n v="1575"/>
    <n v="18787.1355"/>
  </r>
  <r>
    <n v="31"/>
    <s v="PFC-200*75*23"/>
    <x v="1"/>
    <s v="Door Frame"/>
    <x v="2"/>
    <n v="53.317500000000003"/>
    <n v="4"/>
    <n v="0.21327000000000002"/>
    <s v="tonne"/>
    <n v="3350"/>
    <n v="714.45450000000005"/>
  </r>
  <r>
    <n v="32"/>
    <s v="PFC-200*90*30"/>
    <x v="1"/>
    <s v="Door Frame"/>
    <x v="2"/>
    <n v="229.80875000000003"/>
    <n v="24"/>
    <n v="5.515410000000001"/>
    <s v="tonne"/>
    <n v="1875"/>
    <n v="10341.393750000001"/>
  </r>
  <r>
    <n v="33"/>
    <s v="Fittings"/>
    <x v="1"/>
    <m/>
    <x v="1"/>
    <m/>
    <m/>
    <n v="3"/>
    <s v="tonne"/>
    <n v="1650"/>
    <n v="4950"/>
  </r>
  <r>
    <n v="34"/>
    <s v="Fittings"/>
    <x v="1"/>
    <m/>
    <x v="2"/>
    <m/>
    <m/>
    <n v="6"/>
    <s v="tonne"/>
    <n v="1650"/>
    <n v="9900"/>
  </r>
  <r>
    <m/>
    <s v="Cold Rolled Supply &amp; Install"/>
    <x v="0"/>
    <m/>
    <x v="3"/>
    <m/>
    <m/>
    <m/>
    <m/>
    <m/>
    <m/>
  </r>
  <r>
    <n v="35"/>
    <s v="202 C 18"/>
    <x v="2"/>
    <s v="Purlin"/>
    <x v="1"/>
    <m/>
    <m/>
    <n v="820"/>
    <s v="m"/>
    <n v="15.25"/>
    <n v="12505"/>
  </r>
  <r>
    <n v="36"/>
    <s v="232 Z 16"/>
    <x v="2"/>
    <s v="Purlin"/>
    <x v="1"/>
    <m/>
    <m/>
    <n v="440"/>
    <s v="m"/>
    <n v="15.5"/>
    <n v="6820"/>
  </r>
  <r>
    <n v="37"/>
    <s v="232 Z 23"/>
    <x v="2"/>
    <s v="Purlin"/>
    <x v="2"/>
    <m/>
    <m/>
    <n v="320"/>
    <s v="m"/>
    <n v="20.5"/>
    <n v="6560"/>
  </r>
  <r>
    <n v="38"/>
    <s v="232 Z 18"/>
    <x v="2"/>
    <s v="Purlin"/>
    <x v="2"/>
    <m/>
    <m/>
    <n v="1080"/>
    <s v="m"/>
    <n v="16.75"/>
    <n v="18090"/>
  </r>
  <r>
    <n v="39"/>
    <s v="232 Z 16"/>
    <x v="2"/>
    <s v="Purlin"/>
    <x v="2"/>
    <m/>
    <m/>
    <n v="1160"/>
    <s v="m"/>
    <n v="15.5"/>
    <n v="17980"/>
  </r>
  <r>
    <m/>
    <m/>
    <x v="0"/>
    <m/>
    <x v="0"/>
    <m/>
    <m/>
    <m/>
    <m/>
    <s v="Total:"/>
    <n v="255083.790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5086D9-789A-45E6-A373-43C4C4BB170A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4:N11" firstHeaderRow="1" firstDataRow="1" firstDataCol="1"/>
  <pivotFields count="11">
    <pivotField showAll="0"/>
    <pivotField showAll="0"/>
    <pivotField axis="axisRow" showAll="0">
      <items count="5">
        <item x="2"/>
        <item x="1"/>
        <item h="1" x="0"/>
        <item m="1" x="3"/>
        <item t="default"/>
      </items>
    </pivotField>
    <pivotField showAll="0"/>
    <pivotField axis="axisRow" showAll="0">
      <items count="5">
        <item x="3"/>
        <item x="1"/>
        <item x="2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</pivotFields>
  <rowFields count="2">
    <field x="4"/>
    <field x="2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Items count="1">
    <i/>
  </colItems>
  <dataFields count="1">
    <dataField name="Sum of QTY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9BFD3A-F99B-4FCF-97F9-962831C1CCE5}" name="Table18" displayName="Table18" ref="A2:K45" totalsRowShown="0" headerRowDxfId="60" dataDxfId="58" totalsRowDxfId="56" headerRowBorderDxfId="59" tableBorderDxfId="57" totalsRowBorderDxfId="55">
  <autoFilter ref="A2:K45" xr:uid="{449BFD3A-F99B-4FCF-97F9-962831C1CCE5}"/>
  <tableColumns count="11">
    <tableColumn id="1" xr3:uid="{5A2FC6B8-AF61-473B-9ECF-125B20AC9760}" name="Ref " dataDxfId="54" totalsRowDxfId="53"/>
    <tableColumn id="2" xr3:uid="{4E5FC13F-BBEA-4A7A-BF9F-F1443BCB08A2}" name="Item" dataDxfId="52" totalsRowDxfId="51">
      <calculatedColumnFormula>[4]Steel_Pricing!#REF!</calculatedColumnFormula>
    </tableColumn>
    <tableColumn id="13" xr3:uid="{32199D03-C6B7-42FE-9E6A-11345D4468A6}" name="Cat" dataDxfId="50" totalsRowDxfId="49"/>
    <tableColumn id="9" xr3:uid="{E4B65A15-414B-40BA-A3E4-8F44757BB130}" name="Type" dataDxfId="48" totalsRowDxfId="47">
      <calculatedColumnFormula>PROPER([4]Steel_Pricing!D4)</calculatedColumnFormula>
    </tableColumn>
    <tableColumn id="3" xr3:uid="{524164E8-9E8F-4C24-978E-F7AAFE61C761}" name="Zone" dataDxfId="46" totalsRowDxfId="45">
      <calculatedColumnFormula>Table18[[#This Row],[Pcs]]/Table18[[#This Row],[ACW]]*1000</calculatedColumnFormula>
    </tableColumn>
    <tableColumn id="4" xr3:uid="{A03627E0-5A5B-4C84-8AD1-795CCCDE9F68}" name="ACW" dataDxfId="44" totalsRowDxfId="43">
      <calculatedColumnFormula array="1">IF(#REF!="","",_xlfn.XLOOKUP(#REF!,[5]!Table7[[#Headers],[#Data],[Conc]],[5]!Table7[[#Headers],[#Data],[Fab. Pcs ]],""))</calculatedColumnFormula>
    </tableColumn>
    <tableColumn id="5" xr3:uid="{A917E624-047D-486D-886A-5B64954F3BFA}" name="Pcs" dataDxfId="42" totalsRowDxfId="41">
      <calculatedColumnFormula>_xlfn.XLOOKUP(Table18[[#This Row],[Item]],#REF!,#REF!)</calculatedColumnFormula>
    </tableColumn>
    <tableColumn id="6" xr3:uid="{588947C7-B77B-4B18-A21E-DB809F844D26}" name="QTY" dataDxfId="40" totalsRowDxfId="39">
      <calculatedColumnFormula>IF(Table18[[#This Row],[Ref ]]="","",_xlfn.XLOOKUP(Table18[[#This Row],[Ref ]],[5]!Table7[BoQ Ref],[5]!Table7[Unit]))</calculatedColumnFormula>
    </tableColumn>
    <tableColumn id="7" xr3:uid="{29D2D6E1-D5EC-4C1B-B960-9AD99E500032}" name="Unit" dataDxfId="38" totalsRowDxfId="37">
      <calculatedColumnFormula>IF(Table18[[#This Row],[Rate ]]="","",Table18[[#This Row],[Rate ]]/Table18[[#This Row],[Pcs]])</calculatedColumnFormula>
    </tableColumn>
    <tableColumn id="8" xr3:uid="{CE776914-58D1-4DD9-BBDA-806736BAD526}" name="Rate " dataDxfId="36" totalsRowDxfId="35">
      <calculatedColumnFormula>_xlfn.XLOOKUP(Table18[[#This Row],[Item]],#REF!,#REF!)</calculatedColumnFormula>
    </tableColumn>
    <tableColumn id="10" xr3:uid="{E0526622-8249-4AB9-8EB5-D080FCFDD657}" name="Total " dataDxfId="34" totalsRowDxfId="3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AFF841-280A-4BB3-B3A2-7B259EC443AC}" name="Table14" displayName="Table14" ref="B13:N89" totalsRowShown="0" headerRowDxfId="30" dataDxfId="28" totalsRowDxfId="26" headerRowBorderDxfId="29" tableBorderDxfId="27" totalsRowBorderDxfId="25">
  <autoFilter ref="B13:N89" xr:uid="{A73884D8-99CC-437D-818A-740CC7DF9764}"/>
  <tableColumns count="13">
    <tableColumn id="1" xr3:uid="{CE8764DB-FD46-4929-99E7-B2CBF26C2C98}" name="Client Ref" dataDxfId="24" totalsRowDxfId="23"/>
    <tableColumn id="2" xr3:uid="{1A6F1207-4E05-474D-9012-96717AAEEC9F}" name=" VO" dataDxfId="22" totalsRowDxfId="21"/>
    <tableColumn id="3" xr3:uid="{DC6BEABB-727D-4460-9236-DF25474E9F8C}" name="Description" dataDxfId="20" totalsRowDxfId="19"/>
    <tableColumn id="4" xr3:uid="{8E7F4F61-FB1C-4066-92E7-A2AE062A9746}" name="Submission " dataDxfId="18" totalsRowDxfId="17"/>
    <tableColumn id="5" xr3:uid="{6EA22AD0-F4B4-4767-941A-8C0A6FB81768}" name="Value £" dataDxfId="16" totalsRowDxfId="15"/>
    <tableColumn id="16" xr3:uid="{8D038A4D-AB9D-4054-A6D0-639393689782}" name="Dayworks  " dataDxfId="14" totalsRowDxfId="13"/>
    <tableColumn id="13" xr3:uid="{8D2DFB11-BE71-4B5C-973B-F5B1826CAA31}" name="Daywork Total" dataDxfId="12"/>
    <tableColumn id="14" xr3:uid="{D7D62CD0-806D-4091-B4F4-0152322243C5}" name="Status" dataDxfId="11" totalsRowDxfId="10"/>
    <tableColumn id="7" xr3:uid="{9DA7C130-61C6-4F24-B4FE-8A5142E8C00E}" name="Date Agreed" dataDxfId="9" totalsRowDxfId="8"/>
    <tableColumn id="8" xr3:uid="{32E4F831-6CB1-444F-B662-8D21E7B69606}" name="Notes" dataDxfId="7" totalsRowDxfId="6"/>
    <tableColumn id="6" xr3:uid="{B5574D92-7412-443B-B7EC-45927C6BC8AA}" name="Progress %" dataDxfId="5" totalsRowDxfId="4" dataCellStyle="Percent"/>
    <tableColumn id="17" xr3:uid="{130AFD9C-73CA-4C7B-A24B-DACBA2DF7D79}" name="Progress £" dataDxfId="3" totalsRowDxfId="2">
      <calculatedColumnFormula>IF(Table14[[#This Row],[Progress %]]="","",Table14[[#This Row],[Progress %]]*Table14[[#This Row],[Value £]])</calculatedColumnFormula>
    </tableColumn>
    <tableColumn id="18" xr3:uid="{ABDDD1E8-5BE8-4BF6-B747-AC12DE7A64EC}" name="Progress Notes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914F1-C6EB-4F4E-BB34-54C27FF5A779}">
  <sheetPr codeName="Sheet7">
    <tabColor theme="0" tint="-0.249977111117893"/>
    <pageSetUpPr fitToPage="1"/>
  </sheetPr>
  <dimension ref="B2:R41"/>
  <sheetViews>
    <sheetView showGridLines="0" tabSelected="1" view="pageBreakPreview" topLeftCell="A2" zoomScale="86" zoomScaleNormal="86" zoomScaleSheetLayoutView="86" workbookViewId="0">
      <selection activeCell="H8" sqref="H8:H12"/>
    </sheetView>
  </sheetViews>
  <sheetFormatPr defaultColWidth="8.81640625" defaultRowHeight="13"/>
  <cols>
    <col min="1" max="1" width="2.26953125" style="12" customWidth="1"/>
    <col min="2" max="2" width="8.81640625" style="12" customWidth="1"/>
    <col min="3" max="3" width="24.26953125" style="31" customWidth="1"/>
    <col min="4" max="4" width="17.26953125" style="31" customWidth="1"/>
    <col min="5" max="5" width="19.26953125" style="51" customWidth="1"/>
    <col min="6" max="6" width="15.81640625" style="28" bestFit="1" customWidth="1"/>
    <col min="7" max="7" width="19.7265625" style="29" customWidth="1"/>
    <col min="8" max="8" width="36.81640625" style="12" customWidth="1"/>
    <col min="9" max="9" width="1.26953125" style="12" customWidth="1"/>
    <col min="10" max="10" width="1.453125" style="12" customWidth="1"/>
    <col min="11" max="11" width="0.81640625" style="12" customWidth="1"/>
    <col min="12" max="12" width="8.81640625" style="12" customWidth="1"/>
    <col min="13" max="16384" width="8.81640625" style="12"/>
  </cols>
  <sheetData>
    <row r="2" spans="2:13" s="7" customFormat="1" ht="34.5" customHeight="1">
      <c r="B2" s="218" t="s">
        <v>0</v>
      </c>
      <c r="C2" s="219"/>
      <c r="D2" s="219"/>
      <c r="E2" s="219"/>
      <c r="F2" s="219"/>
      <c r="G2" s="219"/>
      <c r="H2" s="219"/>
    </row>
    <row r="3" spans="2:13" s="9" customFormat="1" ht="24.75" customHeight="1">
      <c r="B3" s="8" t="s">
        <v>1</v>
      </c>
      <c r="E3" s="42"/>
    </row>
    <row r="4" spans="2:13" s="31" customFormat="1" ht="18.75" customHeight="1">
      <c r="B4" s="57" t="s">
        <v>2</v>
      </c>
      <c r="E4" s="51"/>
    </row>
    <row r="5" spans="2:13" s="31" customFormat="1" ht="18.75" customHeight="1">
      <c r="B5" s="216" t="s">
        <v>3</v>
      </c>
      <c r="C5" s="217"/>
      <c r="E5" s="51"/>
    </row>
    <row r="6" spans="2:13" s="31" customFormat="1" ht="18.75" customHeight="1" thickBot="1">
      <c r="B6" s="58" t="s">
        <v>4</v>
      </c>
      <c r="C6" s="59"/>
      <c r="D6" s="59"/>
      <c r="E6" s="60"/>
      <c r="F6" s="59"/>
      <c r="G6" s="59"/>
      <c r="H6" s="59"/>
    </row>
    <row r="7" spans="2:13" s="9" customFormat="1" ht="13.5" customHeight="1" thickBot="1">
      <c r="B7" s="10"/>
      <c r="E7" s="42"/>
    </row>
    <row r="8" spans="2:13" ht="25.15" customHeight="1" thickBot="1">
      <c r="B8" s="220" t="s">
        <v>5</v>
      </c>
      <c r="C8" s="220"/>
      <c r="D8" s="65"/>
      <c r="E8" s="43"/>
      <c r="F8" s="39" t="s">
        <v>6</v>
      </c>
      <c r="G8" s="39"/>
      <c r="H8" s="171" t="s">
        <v>67</v>
      </c>
      <c r="I8" s="11"/>
    </row>
    <row r="9" spans="2:13" s="14" customFormat="1" ht="25.15" customHeight="1">
      <c r="B9" s="66" t="s">
        <v>68</v>
      </c>
      <c r="C9" s="66"/>
      <c r="D9" s="66"/>
      <c r="E9" s="44"/>
      <c r="F9" s="40" t="s">
        <v>7</v>
      </c>
      <c r="G9" s="40"/>
      <c r="H9" s="233">
        <v>1</v>
      </c>
      <c r="I9" s="13"/>
    </row>
    <row r="10" spans="2:13" s="14" customFormat="1" ht="25.15" customHeight="1">
      <c r="B10" s="66" t="s">
        <v>69</v>
      </c>
      <c r="C10" s="67"/>
      <c r="D10" s="67"/>
      <c r="E10" s="44"/>
      <c r="F10" s="40" t="s">
        <v>8</v>
      </c>
      <c r="G10" s="40"/>
      <c r="H10" s="234">
        <v>45565</v>
      </c>
      <c r="I10" s="11"/>
    </row>
    <row r="11" spans="2:13" s="14" customFormat="1" ht="25.15" customHeight="1">
      <c r="B11" s="66" t="s">
        <v>70</v>
      </c>
      <c r="C11" s="67"/>
      <c r="D11" s="67"/>
      <c r="E11" s="44"/>
      <c r="F11" s="40" t="s">
        <v>9</v>
      </c>
      <c r="G11" s="40"/>
      <c r="H11" s="234"/>
      <c r="I11" s="11"/>
    </row>
    <row r="12" spans="2:13" s="14" customFormat="1" ht="25.15" customHeight="1" thickBot="1">
      <c r="B12" s="68"/>
      <c r="C12" s="69"/>
      <c r="D12" s="69"/>
      <c r="E12" s="44"/>
      <c r="F12" s="41" t="s">
        <v>10</v>
      </c>
      <c r="G12" s="41"/>
      <c r="H12" s="235">
        <f>H10+30</f>
        <v>45595</v>
      </c>
      <c r="I12" s="11"/>
      <c r="M12" s="17"/>
    </row>
    <row r="13" spans="2:13" s="14" customFormat="1" ht="19.899999999999999" customHeight="1">
      <c r="B13" s="15"/>
      <c r="D13" s="16"/>
      <c r="E13" s="44"/>
      <c r="F13" s="15"/>
      <c r="G13" s="15"/>
      <c r="H13" s="11"/>
      <c r="I13" s="11"/>
      <c r="M13" s="17"/>
    </row>
    <row r="14" spans="2:13" s="14" customFormat="1" ht="40.15" customHeight="1">
      <c r="B14" s="18" t="s">
        <v>11</v>
      </c>
      <c r="C14" s="19" t="s">
        <v>12</v>
      </c>
      <c r="D14" s="19" t="s">
        <v>13</v>
      </c>
      <c r="E14" s="45" t="s">
        <v>14</v>
      </c>
      <c r="F14" s="20" t="s">
        <v>15</v>
      </c>
      <c r="G14" s="52" t="s">
        <v>16</v>
      </c>
      <c r="H14" s="224" t="s">
        <v>17</v>
      </c>
      <c r="I14" s="224"/>
    </row>
    <row r="15" spans="2:13" s="14" customFormat="1" ht="39.75" customHeight="1">
      <c r="B15" s="61">
        <f>IF(C15="","",1)</f>
        <v>1</v>
      </c>
      <c r="C15" s="236" t="str">
        <f>BoQ_Summary!B5</f>
        <v>Steel</v>
      </c>
      <c r="D15" s="32"/>
      <c r="E15" s="166">
        <f>SUMIF(BoQ_Summary!B:B,'AFP Summary'!C15,BoQ_Summary!G:G)</f>
        <v>193128.79100000003</v>
      </c>
      <c r="F15" s="33">
        <f>G15/E15</f>
        <v>0.3410613128106828</v>
      </c>
      <c r="G15" s="166">
        <f>SUMIF(BoQ_Summary!B:B,'AFP Summary'!C15,BoQ_Summary!I:I)</f>
        <v>65868.758999999991</v>
      </c>
      <c r="H15" s="225"/>
      <c r="I15" s="225"/>
    </row>
    <row r="16" spans="2:13" s="14" customFormat="1" ht="39.75" customHeight="1">
      <c r="B16" s="62">
        <f>IF(C16="","",B15+1)</f>
        <v>2</v>
      </c>
      <c r="C16" s="237" t="str">
        <f>BoQ_Summary!B6</f>
        <v>Cold Rolled</v>
      </c>
      <c r="D16" s="35"/>
      <c r="E16" s="166">
        <f>SUMIF(BoQ_Summary!B:B,'AFP Summary'!C16,BoQ_Summary!G:G)</f>
        <v>61955</v>
      </c>
      <c r="F16" s="33">
        <f>G16/E16</f>
        <v>0.31191994189330968</v>
      </c>
      <c r="G16" s="166">
        <f>SUMIF(BoQ_Summary!B:B,'AFP Summary'!C16,BoQ_Summary!I:I)</f>
        <v>19325</v>
      </c>
      <c r="H16" s="225"/>
      <c r="I16" s="225"/>
    </row>
    <row r="17" spans="2:18" s="14" customFormat="1" ht="39.75" customHeight="1">
      <c r="B17" s="62">
        <f t="shared" ref="B17:B23" si="0">IF(C17="","",B16+1)</f>
        <v>3</v>
      </c>
      <c r="C17" s="36" t="s">
        <v>64</v>
      </c>
      <c r="D17" s="37"/>
      <c r="E17" s="166">
        <f>'Variation Register'!K4</f>
        <v>5000</v>
      </c>
      <c r="F17" s="33">
        <v>0</v>
      </c>
      <c r="G17" s="166">
        <f t="shared" ref="G17" si="1">F17*E17</f>
        <v>0</v>
      </c>
      <c r="H17" s="225"/>
      <c r="I17" s="225"/>
    </row>
    <row r="18" spans="2:18" s="14" customFormat="1" ht="39.75" customHeight="1">
      <c r="B18" s="62" t="str">
        <f t="shared" si="0"/>
        <v/>
      </c>
      <c r="C18" s="34"/>
      <c r="D18" s="35"/>
      <c r="E18" s="166"/>
      <c r="F18" s="33"/>
      <c r="G18" s="166"/>
      <c r="H18" s="225"/>
      <c r="I18" s="225"/>
    </row>
    <row r="19" spans="2:18" s="14" customFormat="1" ht="39.75" customHeight="1">
      <c r="B19" s="62" t="str">
        <f>IF(C19="","",B18+1)</f>
        <v/>
      </c>
      <c r="C19" s="53"/>
      <c r="D19" s="54"/>
      <c r="E19" s="166"/>
      <c r="F19" s="33"/>
      <c r="G19" s="166"/>
      <c r="H19" s="80"/>
      <c r="I19" s="56"/>
    </row>
    <row r="20" spans="2:18" s="14" customFormat="1" ht="39.75" customHeight="1">
      <c r="B20" s="62" t="str">
        <f t="shared" si="0"/>
        <v/>
      </c>
      <c r="C20" s="53"/>
      <c r="D20" s="54"/>
      <c r="E20" s="46"/>
      <c r="F20" s="33"/>
      <c r="G20" s="46"/>
      <c r="H20" s="80"/>
      <c r="I20" s="56"/>
    </row>
    <row r="21" spans="2:18" s="14" customFormat="1" ht="39.75" customHeight="1">
      <c r="B21" s="62" t="str">
        <f t="shared" si="0"/>
        <v/>
      </c>
      <c r="C21" s="53"/>
      <c r="D21" s="54"/>
      <c r="E21" s="55"/>
      <c r="F21" s="33"/>
      <c r="G21" s="55"/>
      <c r="H21" s="56"/>
      <c r="I21" s="56"/>
    </row>
    <row r="22" spans="2:18" s="14" customFormat="1" ht="39.75" customHeight="1">
      <c r="B22" s="62" t="str">
        <f t="shared" si="0"/>
        <v/>
      </c>
      <c r="C22" s="53"/>
      <c r="D22" s="54"/>
      <c r="E22" s="55"/>
      <c r="F22" s="33"/>
      <c r="G22" s="55"/>
      <c r="H22" s="56"/>
      <c r="I22" s="56"/>
    </row>
    <row r="23" spans="2:18" s="14" customFormat="1" ht="39.75" customHeight="1" thickBot="1">
      <c r="B23" s="62" t="str">
        <f t="shared" si="0"/>
        <v/>
      </c>
      <c r="C23" s="38"/>
      <c r="D23" s="38"/>
      <c r="E23" s="47"/>
      <c r="F23" s="33"/>
      <c r="G23" s="47"/>
      <c r="H23" s="226"/>
      <c r="I23" s="226"/>
    </row>
    <row r="24" spans="2:18" s="26" customFormat="1" ht="40.5" customHeight="1" thickBot="1">
      <c r="B24" s="167"/>
      <c r="C24" s="168"/>
      <c r="D24" s="169" t="s">
        <v>14</v>
      </c>
      <c r="E24" s="172">
        <f>SUM(E12:E23)</f>
        <v>260083.79100000003</v>
      </c>
      <c r="F24" s="170" t="s">
        <v>18</v>
      </c>
      <c r="G24" s="172">
        <f>SUM(G12:G23)</f>
        <v>85193.758999999991</v>
      </c>
      <c r="H24" s="227"/>
      <c r="I24" s="227"/>
    </row>
    <row r="25" spans="2:18" s="14" customFormat="1" ht="15" customHeight="1" thickBot="1">
      <c r="B25" s="21"/>
      <c r="C25" s="21"/>
      <c r="D25" s="22"/>
      <c r="E25" s="48"/>
      <c r="F25" s="23"/>
      <c r="G25" s="24"/>
      <c r="H25" s="228"/>
      <c r="I25" s="228"/>
    </row>
    <row r="26" spans="2:18" s="26" customFormat="1" ht="30" customHeight="1">
      <c r="B26" s="16"/>
      <c r="C26" s="16"/>
      <c r="D26" s="25"/>
      <c r="E26" s="49"/>
      <c r="F26" s="39" t="s">
        <v>25</v>
      </c>
      <c r="G26" s="39"/>
      <c r="H26" s="229">
        <f>G24/E24</f>
        <v>0.32756273919430828</v>
      </c>
      <c r="I26" s="229"/>
    </row>
    <row r="27" spans="2:18" s="26" customFormat="1" ht="30" customHeight="1">
      <c r="B27" s="16"/>
      <c r="C27" s="16"/>
      <c r="D27" s="25"/>
      <c r="E27" s="49"/>
      <c r="F27" s="40" t="s">
        <v>18</v>
      </c>
      <c r="G27" s="40"/>
      <c r="H27" s="223">
        <f>G24</f>
        <v>85193.758999999991</v>
      </c>
      <c r="I27" s="223"/>
      <c r="R27" s="26" t="s">
        <v>20</v>
      </c>
    </row>
    <row r="28" spans="2:18" s="26" customFormat="1" ht="30" customHeight="1">
      <c r="B28" s="16"/>
      <c r="C28" s="16"/>
      <c r="D28" s="16"/>
      <c r="E28" s="50"/>
      <c r="F28" s="40" t="s">
        <v>26</v>
      </c>
      <c r="G28" s="40"/>
      <c r="H28" s="221">
        <f>-G24*0%</f>
        <v>0</v>
      </c>
      <c r="I28" s="221"/>
    </row>
    <row r="29" spans="2:18" s="26" customFormat="1" ht="30" customHeight="1">
      <c r="D29" s="16"/>
      <c r="E29" s="51"/>
      <c r="F29" s="63" t="s">
        <v>27</v>
      </c>
      <c r="G29" s="63"/>
      <c r="H29" s="221">
        <v>0</v>
      </c>
      <c r="I29" s="221"/>
    </row>
    <row r="30" spans="2:18" s="26" customFormat="1" ht="30" customHeight="1" thickBot="1">
      <c r="D30" s="16"/>
      <c r="E30" s="51"/>
      <c r="F30" s="64" t="s">
        <v>19</v>
      </c>
      <c r="G30" s="64"/>
      <c r="H30" s="222">
        <f>SUM(H27:H29)</f>
        <v>85193.758999999991</v>
      </c>
      <c r="I30" s="222"/>
    </row>
    <row r="31" spans="2:18" s="14" customFormat="1" ht="27" customHeight="1">
      <c r="D31" s="27"/>
      <c r="E31" s="51"/>
    </row>
    <row r="32" spans="2:18" s="14" customFormat="1" ht="27" customHeight="1">
      <c r="D32" s="16"/>
      <c r="E32" s="51"/>
    </row>
    <row r="33" spans="2:17" s="14" customFormat="1" ht="16.899999999999999" customHeight="1">
      <c r="E33" s="51"/>
      <c r="F33" s="28"/>
      <c r="G33" s="29"/>
      <c r="H33" s="12"/>
      <c r="I33" s="12"/>
      <c r="Q33" s="14" t="s">
        <v>20</v>
      </c>
    </row>
    <row r="34" spans="2:17" s="14" customFormat="1">
      <c r="C34" s="16"/>
      <c r="D34" s="16"/>
      <c r="E34" s="51"/>
      <c r="F34" s="28"/>
      <c r="G34" s="29"/>
      <c r="H34" s="12"/>
      <c r="I34" s="12"/>
    </row>
    <row r="35" spans="2:17">
      <c r="B35" s="14"/>
      <c r="C35" s="16"/>
      <c r="D35" s="16"/>
      <c r="F35" s="30"/>
      <c r="J35" s="12" t="s">
        <v>20</v>
      </c>
    </row>
    <row r="36" spans="2:17">
      <c r="F36" s="30"/>
    </row>
    <row r="37" spans="2:17">
      <c r="F37" s="30"/>
    </row>
    <row r="38" spans="2:17">
      <c r="F38" s="30"/>
    </row>
    <row r="39" spans="2:17">
      <c r="F39" s="30"/>
    </row>
    <row r="40" spans="2:17">
      <c r="F40" s="30"/>
    </row>
    <row r="41" spans="2:17">
      <c r="F41" s="30"/>
    </row>
  </sheetData>
  <mergeCells count="16">
    <mergeCell ref="H30:I30"/>
    <mergeCell ref="H27:I27"/>
    <mergeCell ref="H14:I14"/>
    <mergeCell ref="H15:I15"/>
    <mergeCell ref="H16:I16"/>
    <mergeCell ref="H17:I17"/>
    <mergeCell ref="H18:I18"/>
    <mergeCell ref="H23:I23"/>
    <mergeCell ref="H24:I24"/>
    <mergeCell ref="H25:I25"/>
    <mergeCell ref="H26:I26"/>
    <mergeCell ref="B5:C5"/>
    <mergeCell ref="B2:H2"/>
    <mergeCell ref="B8:C8"/>
    <mergeCell ref="H28:I28"/>
    <mergeCell ref="H29:I29"/>
  </mergeCells>
  <printOptions horizontalCentered="1"/>
  <pageMargins left="0.25" right="0.25" top="0.75" bottom="0.75" header="0.3" footer="0.3"/>
  <pageSetup scale="66" orientation="portrait" r:id="rId1"/>
  <headerFooter>
    <oddFooter>&amp;L_x000D_&amp;1#&amp;"Calibri"&amp;10&amp;K000000 Classification: Official</oddFooter>
  </headerFooter>
  <rowBreaks count="1" manualBreakCount="1">
    <brk id="41" max="10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25460-6A2B-4F57-8478-8F46489DC6FC}">
  <sheetPr>
    <tabColor theme="0" tint="-0.249977111117893"/>
    <pageSetUpPr fitToPage="1"/>
  </sheetPr>
  <dimension ref="B1:Q13"/>
  <sheetViews>
    <sheetView showGridLines="0" view="pageBreakPreview" zoomScale="90" zoomScaleNormal="100" zoomScaleSheetLayoutView="90" workbookViewId="0">
      <selection activeCell="H7" sqref="H7"/>
    </sheetView>
  </sheetViews>
  <sheetFormatPr defaultColWidth="9.1796875" defaultRowHeight="14"/>
  <cols>
    <col min="1" max="1" width="3.453125" style="71" customWidth="1"/>
    <col min="2" max="2" width="19.90625" style="73" customWidth="1"/>
    <col min="3" max="3" width="16.81640625" style="73" customWidth="1"/>
    <col min="4" max="5" width="16.81640625" style="71" customWidth="1"/>
    <col min="6" max="6" width="16.81640625" style="72" customWidth="1"/>
    <col min="7" max="7" width="16.81640625" style="76" customWidth="1"/>
    <col min="8" max="8" width="16.81640625" style="77" customWidth="1"/>
    <col min="9" max="9" width="16.81640625" style="76" customWidth="1"/>
    <col min="10" max="10" width="24.1796875" style="76" bestFit="1" customWidth="1"/>
    <col min="11" max="11" width="5.81640625" style="71" customWidth="1"/>
    <col min="12" max="12" width="9.1796875" style="71"/>
    <col min="13" max="13" width="13.7265625" style="71" hidden="1" customWidth="1"/>
    <col min="14" max="15" width="9.1796875" style="71"/>
    <col min="16" max="16" width="16.81640625" style="71" bestFit="1" customWidth="1"/>
    <col min="17" max="16384" width="9.1796875" style="71"/>
  </cols>
  <sheetData>
    <row r="1" spans="2:17" ht="14.5" thickBot="1"/>
    <row r="2" spans="2:17" ht="24.75" customHeight="1" thickBot="1">
      <c r="B2" s="93" t="s">
        <v>71</v>
      </c>
      <c r="C2" s="93"/>
      <c r="D2" s="93"/>
      <c r="E2" s="93"/>
      <c r="F2" s="94"/>
      <c r="G2" s="93"/>
      <c r="H2" s="93"/>
      <c r="I2" s="93"/>
      <c r="J2" s="93"/>
    </row>
    <row r="4" spans="2:17" ht="29.25" customHeight="1">
      <c r="B4" s="174" t="s">
        <v>36</v>
      </c>
      <c r="C4" s="174" t="s">
        <v>13</v>
      </c>
      <c r="D4" s="175" t="s">
        <v>29</v>
      </c>
      <c r="E4" s="175" t="s">
        <v>30</v>
      </c>
      <c r="F4" s="176" t="s">
        <v>31</v>
      </c>
      <c r="G4" s="177" t="s">
        <v>32</v>
      </c>
      <c r="H4" s="178" t="s">
        <v>33</v>
      </c>
      <c r="I4" s="177" t="s">
        <v>34</v>
      </c>
      <c r="J4" s="177" t="s">
        <v>47</v>
      </c>
    </row>
    <row r="5" spans="2:17" ht="29.25" customHeight="1">
      <c r="B5" s="74" t="s">
        <v>74</v>
      </c>
      <c r="C5" s="70" t="s">
        <v>76</v>
      </c>
      <c r="D5" s="95">
        <f>SUMIFS(Table18[QTY],Table18[Zone],BoQ_Summary!C5,Table18[Cat],BoQ_Summary!B5)</f>
        <v>30.993619999999996</v>
      </c>
      <c r="E5" s="96" t="s">
        <v>111</v>
      </c>
      <c r="F5" s="214">
        <f>G5/D5</f>
        <v>2125.2360647126729</v>
      </c>
      <c r="G5" s="215">
        <f>SUMIFS(Table18[[Total ]],Table18[Zone],BoQ_Summary!C5,Table18[Cat],BoQ_Summary!B5)</f>
        <v>65868.758999999991</v>
      </c>
      <c r="H5" s="78">
        <v>1</v>
      </c>
      <c r="I5" s="75">
        <f>IF(H5="","",H5*G5)</f>
        <v>65868.758999999991</v>
      </c>
      <c r="J5" s="75"/>
      <c r="O5" s="122"/>
      <c r="Q5" s="71" t="s">
        <v>61</v>
      </c>
    </row>
    <row r="6" spans="2:17" ht="29.25" customHeight="1">
      <c r="B6" s="74" t="s">
        <v>104</v>
      </c>
      <c r="C6" s="70" t="s">
        <v>76</v>
      </c>
      <c r="D6" s="95">
        <f>SUMIFS(Table18[QTY],Table18[Zone],BoQ_Summary!C6,Table18[Cat],BoQ_Summary!B6)</f>
        <v>1260</v>
      </c>
      <c r="E6" s="96" t="s">
        <v>105</v>
      </c>
      <c r="F6" s="214">
        <f>G6/D6</f>
        <v>15.337301587301587</v>
      </c>
      <c r="G6" s="215">
        <f>SUMIFS(Table18[[Total ]],Table18[Zone],BoQ_Summary!C6,Table18[Cat],BoQ_Summary!B6)</f>
        <v>19325</v>
      </c>
      <c r="H6" s="78">
        <v>1</v>
      </c>
      <c r="I6" s="75">
        <f t="shared" ref="I6:I7" si="0">IF(H6="","",H6*G6)</f>
        <v>19325</v>
      </c>
      <c r="J6" s="75"/>
      <c r="O6" s="122"/>
    </row>
    <row r="7" spans="2:17" ht="29.25" customHeight="1">
      <c r="B7" s="74" t="s">
        <v>74</v>
      </c>
      <c r="C7" s="70" t="s">
        <v>92</v>
      </c>
      <c r="D7" s="95">
        <f>SUMIFS(Table18[QTY],Table18[Zone],BoQ_Summary!C7,Table18[Cat],BoQ_Summary!B7)</f>
        <v>68.474500000000006</v>
      </c>
      <c r="E7" s="96" t="s">
        <v>111</v>
      </c>
      <c r="F7" s="214">
        <f t="shared" ref="F7:F8" si="1">G7/D7</f>
        <v>1858.5025374409454</v>
      </c>
      <c r="G7" s="215">
        <f>SUMIFS(Table18[[Total ]],Table18[Zone],BoQ_Summary!C7,Table18[Cat],BoQ_Summary!B7)</f>
        <v>127260.03200000002</v>
      </c>
      <c r="H7" s="78"/>
      <c r="I7" s="75" t="str">
        <f t="shared" si="0"/>
        <v/>
      </c>
      <c r="J7" s="75"/>
      <c r="O7" s="122"/>
    </row>
    <row r="8" spans="2:17" ht="29.25" customHeight="1">
      <c r="B8" s="74" t="s">
        <v>104</v>
      </c>
      <c r="C8" s="70" t="s">
        <v>92</v>
      </c>
      <c r="D8" s="95">
        <f>SUMIFS(Table18[QTY],Table18[Zone],BoQ_Summary!C8,Table18[Cat],BoQ_Summary!B8)</f>
        <v>2560</v>
      </c>
      <c r="E8" s="96" t="s">
        <v>105</v>
      </c>
      <c r="F8" s="214">
        <f t="shared" si="1"/>
        <v>16.65234375</v>
      </c>
      <c r="G8" s="215">
        <f>SUMIFS(Table18[[Total ]],Table18[Zone],BoQ_Summary!C8,Table18[Cat],BoQ_Summary!B8)</f>
        <v>42630</v>
      </c>
      <c r="H8" s="78"/>
      <c r="I8" s="75"/>
      <c r="J8" s="75"/>
      <c r="O8" s="122"/>
    </row>
    <row r="9" spans="2:17" s="79" customFormat="1" ht="27" customHeight="1">
      <c r="B9" s="207"/>
      <c r="C9" s="207"/>
      <c r="D9" s="207"/>
      <c r="E9" s="207"/>
      <c r="F9" s="208"/>
      <c r="G9" s="209">
        <f>SUM(G5:G8)</f>
        <v>255083.79100000003</v>
      </c>
      <c r="H9" s="210">
        <f>I9/G9</f>
        <v>0.3339834282139863</v>
      </c>
      <c r="I9" s="209">
        <f>SUM(I5:I8)</f>
        <v>85193.758999999991</v>
      </c>
      <c r="J9" s="209"/>
    </row>
    <row r="10" spans="2:17">
      <c r="G10" s="76" t="s">
        <v>20</v>
      </c>
    </row>
    <row r="13" spans="2:17">
      <c r="D13" s="71" t="s">
        <v>20</v>
      </c>
    </row>
  </sheetData>
  <pageMargins left="0.7" right="0.7" top="0.75" bottom="0.75" header="0.3" footer="0.3"/>
  <pageSetup paperSize="9" scale="51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7E71B-B867-4EE8-BCF3-662E8B99D91D}">
  <sheetPr>
    <tabColor theme="0" tint="-0.249977111117893"/>
    <pageSetUpPr fitToPage="1"/>
  </sheetPr>
  <dimension ref="A2:BE45"/>
  <sheetViews>
    <sheetView showGridLines="0" view="pageBreakPreview" topLeftCell="A15" zoomScale="80" zoomScaleNormal="100" zoomScaleSheetLayoutView="80" workbookViewId="0">
      <selection activeCell="F33" sqref="F33"/>
    </sheetView>
  </sheetViews>
  <sheetFormatPr defaultColWidth="8.81640625" defaultRowHeight="14.5"/>
  <cols>
    <col min="1" max="1" width="10.453125" style="88" bestFit="1" customWidth="1"/>
    <col min="2" max="2" width="23.1796875" style="89" customWidth="1"/>
    <col min="3" max="3" width="13.453125" style="90" customWidth="1"/>
    <col min="4" max="4" width="11.453125" style="90" bestFit="1" customWidth="1"/>
    <col min="5" max="5" width="11.54296875" style="90" bestFit="1" customWidth="1"/>
    <col min="6" max="6" width="11.54296875" style="181" bestFit="1" customWidth="1"/>
    <col min="7" max="7" width="8.6328125" style="90" bestFit="1" customWidth="1"/>
    <col min="8" max="8" width="9.453125" style="180" bestFit="1" customWidth="1"/>
    <col min="9" max="9" width="9.1796875" style="91" bestFit="1" customWidth="1"/>
    <col min="10" max="10" width="11.7265625" style="182" bestFit="1" customWidth="1"/>
    <col min="11" max="11" width="13.08984375" style="182" bestFit="1" customWidth="1"/>
    <col min="12" max="12" width="24.81640625" bestFit="1" customWidth="1"/>
    <col min="13" max="13" width="14.26953125" hidden="1" customWidth="1"/>
    <col min="14" max="14" width="11.26953125" hidden="1" customWidth="1"/>
    <col min="15" max="15" width="20.453125" style="85" hidden="1" customWidth="1"/>
    <col min="16" max="20" width="0" style="89" hidden="1" customWidth="1"/>
    <col min="21" max="16384" width="8.81640625" style="89"/>
  </cols>
  <sheetData>
    <row r="2" spans="1:57" s="81" customFormat="1" ht="26.5" customHeight="1">
      <c r="A2" s="183" t="s">
        <v>35</v>
      </c>
      <c r="B2" s="184" t="s">
        <v>36</v>
      </c>
      <c r="C2" s="184" t="s">
        <v>28</v>
      </c>
      <c r="D2" s="184" t="s">
        <v>37</v>
      </c>
      <c r="E2" s="184" t="s">
        <v>13</v>
      </c>
      <c r="F2" s="185" t="s">
        <v>110</v>
      </c>
      <c r="G2" s="186" t="s">
        <v>38</v>
      </c>
      <c r="H2" s="186" t="s">
        <v>29</v>
      </c>
      <c r="I2" s="187" t="s">
        <v>39</v>
      </c>
      <c r="J2" s="188" t="s">
        <v>40</v>
      </c>
      <c r="K2" s="188" t="s">
        <v>41</v>
      </c>
      <c r="O2" s="82"/>
    </row>
    <row r="3" spans="1:57" s="83" customFormat="1" ht="10.5" customHeight="1">
      <c r="A3" s="189"/>
      <c r="B3" s="92"/>
      <c r="C3" s="92"/>
      <c r="D3" s="92"/>
      <c r="E3" s="190"/>
      <c r="F3" s="191"/>
      <c r="G3" s="192"/>
      <c r="H3" s="192"/>
      <c r="I3" s="193"/>
      <c r="J3" s="194"/>
      <c r="K3" s="194"/>
      <c r="BE3" s="84" t="s">
        <v>42</v>
      </c>
    </row>
    <row r="4" spans="1:57" s="83" customFormat="1" ht="33" customHeight="1">
      <c r="A4" s="189"/>
      <c r="B4" s="179" t="s">
        <v>72</v>
      </c>
      <c r="C4" s="92"/>
      <c r="D4" s="92"/>
      <c r="E4" s="190"/>
      <c r="F4" s="191"/>
      <c r="G4" s="192"/>
      <c r="H4" s="192"/>
      <c r="I4" s="193"/>
      <c r="J4" s="194"/>
      <c r="K4" s="194"/>
      <c r="M4" s="211" t="s">
        <v>114</v>
      </c>
      <c r="N4" t="s">
        <v>116</v>
      </c>
      <c r="O4"/>
      <c r="BE4" s="84" t="s">
        <v>43</v>
      </c>
    </row>
    <row r="5" spans="1:57" s="83" customFormat="1" ht="33" customHeight="1">
      <c r="A5" s="189">
        <v>1</v>
      </c>
      <c r="B5" s="92" t="s">
        <v>73</v>
      </c>
      <c r="C5" s="92" t="s">
        <v>74</v>
      </c>
      <c r="D5" s="92" t="s">
        <v>75</v>
      </c>
      <c r="E5" s="190" t="s">
        <v>76</v>
      </c>
      <c r="F5" s="191">
        <v>108.66</v>
      </c>
      <c r="G5" s="195">
        <v>2</v>
      </c>
      <c r="H5" s="192">
        <v>0.21731999999999999</v>
      </c>
      <c r="I5" s="193" t="s">
        <v>77</v>
      </c>
      <c r="J5" s="194">
        <v>3400</v>
      </c>
      <c r="K5" s="194">
        <v>738.88799999999992</v>
      </c>
      <c r="M5" s="212" t="s">
        <v>76</v>
      </c>
      <c r="N5">
        <v>1290.99362</v>
      </c>
      <c r="O5"/>
      <c r="BE5" s="84" t="s">
        <v>44</v>
      </c>
    </row>
    <row r="6" spans="1:57" s="83" customFormat="1" ht="33" customHeight="1">
      <c r="A6" s="189">
        <v>2</v>
      </c>
      <c r="B6" s="92" t="s">
        <v>78</v>
      </c>
      <c r="C6" s="92" t="s">
        <v>74</v>
      </c>
      <c r="D6" s="92" t="s">
        <v>75</v>
      </c>
      <c r="E6" s="190" t="s">
        <v>76</v>
      </c>
      <c r="F6" s="191">
        <v>146.98899999999995</v>
      </c>
      <c r="G6" s="195">
        <v>40</v>
      </c>
      <c r="H6" s="192">
        <v>5.8795599999999979</v>
      </c>
      <c r="I6" s="193" t="s">
        <v>77</v>
      </c>
      <c r="J6" s="194">
        <v>2375</v>
      </c>
      <c r="K6" s="194">
        <v>13963.954999999994</v>
      </c>
      <c r="M6" s="213" t="s">
        <v>104</v>
      </c>
      <c r="N6">
        <v>1260</v>
      </c>
      <c r="O6"/>
      <c r="BE6" s="84" t="s">
        <v>45</v>
      </c>
    </row>
    <row r="7" spans="1:57" s="83" customFormat="1" ht="33" customHeight="1">
      <c r="A7" s="189">
        <v>3</v>
      </c>
      <c r="B7" s="92" t="s">
        <v>79</v>
      </c>
      <c r="C7" s="92" t="s">
        <v>74</v>
      </c>
      <c r="D7" s="92" t="s">
        <v>75</v>
      </c>
      <c r="E7" s="190" t="s">
        <v>76</v>
      </c>
      <c r="F7" s="191">
        <v>140.97166666666669</v>
      </c>
      <c r="G7" s="195">
        <v>6</v>
      </c>
      <c r="H7" s="192">
        <v>0.84583000000000008</v>
      </c>
      <c r="I7" s="193" t="s">
        <v>77</v>
      </c>
      <c r="J7" s="194">
        <v>2975</v>
      </c>
      <c r="K7" s="194">
        <v>2516.3442500000001</v>
      </c>
      <c r="M7" s="213" t="s">
        <v>74</v>
      </c>
      <c r="N7">
        <v>30.993619999999996</v>
      </c>
      <c r="O7">
        <f>GETPIVOTDATA("QTY",$M$4,"Cat","Steel","Zone","Unit 2")*0.1</f>
        <v>3.0993619999999997</v>
      </c>
      <c r="BE7" s="84"/>
    </row>
    <row r="8" spans="1:57" s="83" customFormat="1" ht="33" customHeight="1">
      <c r="A8" s="189">
        <v>4</v>
      </c>
      <c r="B8" s="92" t="s">
        <v>80</v>
      </c>
      <c r="C8" s="92" t="s">
        <v>74</v>
      </c>
      <c r="D8" s="92" t="s">
        <v>75</v>
      </c>
      <c r="E8" s="190" t="s">
        <v>76</v>
      </c>
      <c r="F8" s="191">
        <v>138.36499999999998</v>
      </c>
      <c r="G8" s="195">
        <v>2</v>
      </c>
      <c r="H8" s="192">
        <v>0.27672999999999998</v>
      </c>
      <c r="I8" s="193" t="s">
        <v>77</v>
      </c>
      <c r="J8" s="194">
        <v>3450</v>
      </c>
      <c r="K8" s="194">
        <v>954.71849999999995</v>
      </c>
      <c r="M8" s="212" t="s">
        <v>92</v>
      </c>
      <c r="N8">
        <v>2628.4744999999998</v>
      </c>
      <c r="O8"/>
      <c r="BE8" s="84"/>
    </row>
    <row r="9" spans="1:57" s="83" customFormat="1" ht="33" customHeight="1">
      <c r="A9" s="189">
        <v>5</v>
      </c>
      <c r="B9" s="92" t="s">
        <v>81</v>
      </c>
      <c r="C9" s="92" t="s">
        <v>74</v>
      </c>
      <c r="D9" s="92" t="s">
        <v>75</v>
      </c>
      <c r="E9" s="190" t="s">
        <v>76</v>
      </c>
      <c r="F9" s="191">
        <v>303.93</v>
      </c>
      <c r="G9" s="195">
        <v>2</v>
      </c>
      <c r="H9" s="192">
        <v>0.60786000000000007</v>
      </c>
      <c r="I9" s="193" t="s">
        <v>77</v>
      </c>
      <c r="J9" s="194">
        <v>2450</v>
      </c>
      <c r="K9" s="194">
        <v>1489.2570000000001</v>
      </c>
      <c r="M9" s="213" t="s">
        <v>104</v>
      </c>
      <c r="N9">
        <v>2560</v>
      </c>
      <c r="O9"/>
      <c r="BE9" s="84"/>
    </row>
    <row r="10" spans="1:57" s="83" customFormat="1" ht="33" customHeight="1">
      <c r="A10" s="189">
        <v>6</v>
      </c>
      <c r="B10" s="92" t="s">
        <v>82</v>
      </c>
      <c r="C10" s="92" t="s">
        <v>74</v>
      </c>
      <c r="D10" s="92" t="s">
        <v>75</v>
      </c>
      <c r="E10" s="190" t="s">
        <v>76</v>
      </c>
      <c r="F10" s="191">
        <v>136.92571428571429</v>
      </c>
      <c r="G10" s="195">
        <v>7</v>
      </c>
      <c r="H10" s="192">
        <v>0.95848</v>
      </c>
      <c r="I10" s="193" t="s">
        <v>77</v>
      </c>
      <c r="J10" s="194">
        <v>2675</v>
      </c>
      <c r="K10" s="194">
        <v>2563.9340000000002</v>
      </c>
      <c r="M10" s="213" t="s">
        <v>74</v>
      </c>
      <c r="N10">
        <v>68.474500000000006</v>
      </c>
      <c r="O10"/>
      <c r="BE10" s="84"/>
    </row>
    <row r="11" spans="1:57" s="83" customFormat="1" ht="33" customHeight="1">
      <c r="A11" s="189">
        <v>7</v>
      </c>
      <c r="B11" s="92" t="s">
        <v>83</v>
      </c>
      <c r="C11" s="92" t="s">
        <v>74</v>
      </c>
      <c r="D11" s="92" t="s">
        <v>75</v>
      </c>
      <c r="E11" s="190" t="s">
        <v>76</v>
      </c>
      <c r="F11" s="191">
        <v>572.56600000000003</v>
      </c>
      <c r="G11" s="195">
        <v>10</v>
      </c>
      <c r="H11" s="192">
        <v>5.7256600000000004</v>
      </c>
      <c r="I11" s="193" t="s">
        <v>77</v>
      </c>
      <c r="J11" s="194">
        <v>1600</v>
      </c>
      <c r="K11" s="194">
        <v>9161.0560000000005</v>
      </c>
      <c r="M11" s="212" t="s">
        <v>115</v>
      </c>
      <c r="N11">
        <v>3919.46812</v>
      </c>
      <c r="O11">
        <f>GETPIVOTDATA("QTY",$M$4,"Cat","Steel","Zone","Unit 3")*0.1</f>
        <v>6.8474500000000011</v>
      </c>
      <c r="BE11" s="84"/>
    </row>
    <row r="12" spans="1:57" s="83" customFormat="1" ht="33" customHeight="1">
      <c r="A12" s="189">
        <v>8</v>
      </c>
      <c r="B12" s="92" t="s">
        <v>84</v>
      </c>
      <c r="C12" s="92" t="s">
        <v>74</v>
      </c>
      <c r="D12" s="92" t="s">
        <v>85</v>
      </c>
      <c r="E12" s="190" t="s">
        <v>76</v>
      </c>
      <c r="F12" s="191">
        <v>101.13083333333334</v>
      </c>
      <c r="G12" s="195">
        <v>12</v>
      </c>
      <c r="H12" s="192">
        <v>1.21357</v>
      </c>
      <c r="I12" s="193" t="s">
        <v>77</v>
      </c>
      <c r="J12" s="194">
        <v>3475</v>
      </c>
      <c r="K12" s="194">
        <v>4217.1557499999999</v>
      </c>
      <c r="M12"/>
      <c r="N12"/>
      <c r="O12"/>
      <c r="BE12" s="84"/>
    </row>
    <row r="13" spans="1:57" s="83" customFormat="1" ht="33" customHeight="1">
      <c r="A13" s="189">
        <v>9</v>
      </c>
      <c r="B13" s="92" t="s">
        <v>73</v>
      </c>
      <c r="C13" s="92" t="s">
        <v>74</v>
      </c>
      <c r="D13" s="92" t="s">
        <v>85</v>
      </c>
      <c r="E13" s="190" t="s">
        <v>76</v>
      </c>
      <c r="F13" s="191">
        <v>110.155</v>
      </c>
      <c r="G13" s="195">
        <v>2</v>
      </c>
      <c r="H13" s="192">
        <v>0.22031000000000001</v>
      </c>
      <c r="I13" s="193" t="s">
        <v>77</v>
      </c>
      <c r="J13" s="194">
        <v>3375</v>
      </c>
      <c r="K13" s="194">
        <v>743.54624999999999</v>
      </c>
      <c r="M13"/>
      <c r="N13"/>
      <c r="O13"/>
      <c r="BE13" s="84"/>
    </row>
    <row r="14" spans="1:57" s="83" customFormat="1" ht="33" customHeight="1">
      <c r="A14" s="189">
        <v>10</v>
      </c>
      <c r="B14" s="92" t="s">
        <v>86</v>
      </c>
      <c r="C14" s="92" t="s">
        <v>74</v>
      </c>
      <c r="D14" s="92" t="s">
        <v>85</v>
      </c>
      <c r="E14" s="190" t="s">
        <v>76</v>
      </c>
      <c r="F14" s="191">
        <v>159.8775</v>
      </c>
      <c r="G14" s="195">
        <v>4</v>
      </c>
      <c r="H14" s="192">
        <v>0.63951000000000002</v>
      </c>
      <c r="I14" s="193" t="s">
        <v>77</v>
      </c>
      <c r="J14" s="194">
        <v>2950</v>
      </c>
      <c r="K14" s="194">
        <v>1886.5545</v>
      </c>
      <c r="M14"/>
      <c r="N14"/>
      <c r="O14"/>
      <c r="BE14" s="84"/>
    </row>
    <row r="15" spans="1:57" s="83" customFormat="1" ht="33" customHeight="1">
      <c r="A15" s="189">
        <v>11</v>
      </c>
      <c r="B15" s="92" t="s">
        <v>78</v>
      </c>
      <c r="C15" s="92" t="s">
        <v>74</v>
      </c>
      <c r="D15" s="92" t="s">
        <v>87</v>
      </c>
      <c r="E15" s="190" t="s">
        <v>76</v>
      </c>
      <c r="F15" s="191">
        <v>230.9242857142857</v>
      </c>
      <c r="G15" s="195">
        <v>14</v>
      </c>
      <c r="H15" s="192">
        <v>3.2329399999999997</v>
      </c>
      <c r="I15" s="193" t="s">
        <v>77</v>
      </c>
      <c r="J15" s="194">
        <v>1875</v>
      </c>
      <c r="K15" s="194">
        <v>6061.7624999999998</v>
      </c>
      <c r="M15"/>
      <c r="N15"/>
      <c r="O15"/>
      <c r="BE15" s="84"/>
    </row>
    <row r="16" spans="1:57" s="83" customFormat="1" ht="33" customHeight="1">
      <c r="A16" s="189">
        <v>12</v>
      </c>
      <c r="B16" s="92" t="s">
        <v>82</v>
      </c>
      <c r="C16" s="92" t="s">
        <v>74</v>
      </c>
      <c r="D16" s="92" t="s">
        <v>87</v>
      </c>
      <c r="E16" s="190" t="s">
        <v>76</v>
      </c>
      <c r="F16" s="191">
        <v>44.524999999999999</v>
      </c>
      <c r="G16" s="195">
        <v>18</v>
      </c>
      <c r="H16" s="192">
        <v>0.80145</v>
      </c>
      <c r="I16" s="193" t="s">
        <v>77</v>
      </c>
      <c r="J16" s="194">
        <v>4600</v>
      </c>
      <c r="K16" s="194">
        <v>3686.67</v>
      </c>
      <c r="M16"/>
      <c r="N16"/>
      <c r="O16"/>
      <c r="BE16" s="84"/>
    </row>
    <row r="17" spans="1:57" s="83" customFormat="1" ht="33" customHeight="1">
      <c r="A17" s="189">
        <v>13</v>
      </c>
      <c r="B17" s="92" t="s">
        <v>88</v>
      </c>
      <c r="C17" s="92" t="s">
        <v>74</v>
      </c>
      <c r="D17" s="92" t="s">
        <v>87</v>
      </c>
      <c r="E17" s="190" t="s">
        <v>76</v>
      </c>
      <c r="F17" s="191">
        <v>398.72250000000003</v>
      </c>
      <c r="G17" s="195">
        <v>8</v>
      </c>
      <c r="H17" s="192">
        <v>3.1897800000000003</v>
      </c>
      <c r="I17" s="193" t="s">
        <v>77</v>
      </c>
      <c r="J17" s="194">
        <v>1700</v>
      </c>
      <c r="K17" s="194">
        <v>5422.6260000000002</v>
      </c>
      <c r="L17"/>
      <c r="M17"/>
      <c r="N17"/>
      <c r="O17"/>
      <c r="BE17" s="84"/>
    </row>
    <row r="18" spans="1:57" s="83" customFormat="1" ht="33" customHeight="1">
      <c r="A18" s="189">
        <v>14</v>
      </c>
      <c r="B18" s="92" t="s">
        <v>89</v>
      </c>
      <c r="C18" s="92" t="s">
        <v>74</v>
      </c>
      <c r="D18" s="92" t="s">
        <v>87</v>
      </c>
      <c r="E18" s="190" t="s">
        <v>76</v>
      </c>
      <c r="F18" s="191">
        <v>605.13166666666677</v>
      </c>
      <c r="G18" s="195">
        <v>6</v>
      </c>
      <c r="H18" s="192">
        <v>3.6307900000000002</v>
      </c>
      <c r="I18" s="193" t="s">
        <v>77</v>
      </c>
      <c r="J18" s="194">
        <v>1600</v>
      </c>
      <c r="K18" s="194">
        <v>5809.2640000000001</v>
      </c>
      <c r="L18"/>
      <c r="M18"/>
      <c r="N18"/>
      <c r="O18"/>
      <c r="BE18" s="84"/>
    </row>
    <row r="19" spans="1:57" s="83" customFormat="1" ht="33" customHeight="1">
      <c r="A19" s="189">
        <v>15</v>
      </c>
      <c r="B19" s="92" t="s">
        <v>90</v>
      </c>
      <c r="C19" s="92" t="s">
        <v>74</v>
      </c>
      <c r="D19" s="92" t="s">
        <v>91</v>
      </c>
      <c r="E19" s="190" t="s">
        <v>76</v>
      </c>
      <c r="F19" s="191">
        <v>138.45750000000001</v>
      </c>
      <c r="G19" s="195">
        <v>4</v>
      </c>
      <c r="H19" s="192">
        <v>0.55383000000000004</v>
      </c>
      <c r="I19" s="193" t="s">
        <v>77</v>
      </c>
      <c r="J19" s="194">
        <v>3075</v>
      </c>
      <c r="K19" s="194">
        <v>1703.0272500000001</v>
      </c>
      <c r="L19"/>
      <c r="M19"/>
      <c r="N19"/>
      <c r="O19"/>
      <c r="BE19" s="84"/>
    </row>
    <row r="20" spans="1:57" s="83" customFormat="1" ht="33" customHeight="1">
      <c r="A20" s="189">
        <v>16</v>
      </c>
      <c r="B20" s="92" t="s">
        <v>73</v>
      </c>
      <c r="C20" s="92" t="s">
        <v>74</v>
      </c>
      <c r="D20" s="92" t="s">
        <v>75</v>
      </c>
      <c r="E20" s="190" t="s">
        <v>92</v>
      </c>
      <c r="F20" s="191">
        <v>109.07166666666666</v>
      </c>
      <c r="G20" s="195">
        <v>6</v>
      </c>
      <c r="H20" s="192">
        <v>0.65442999999999996</v>
      </c>
      <c r="I20" s="193" t="s">
        <v>77</v>
      </c>
      <c r="J20" s="194">
        <v>3400</v>
      </c>
      <c r="K20" s="194">
        <v>2225.0619999999999</v>
      </c>
      <c r="L20"/>
      <c r="M20"/>
      <c r="N20"/>
      <c r="O20"/>
      <c r="BE20" s="84"/>
    </row>
    <row r="21" spans="1:57" s="83" customFormat="1" ht="33" customHeight="1">
      <c r="A21" s="189">
        <v>17</v>
      </c>
      <c r="B21" s="92" t="s">
        <v>93</v>
      </c>
      <c r="C21" s="92" t="s">
        <v>74</v>
      </c>
      <c r="D21" s="92" t="s">
        <v>75</v>
      </c>
      <c r="E21" s="190" t="s">
        <v>92</v>
      </c>
      <c r="F21" s="191">
        <v>156.34409090909091</v>
      </c>
      <c r="G21" s="195">
        <v>22</v>
      </c>
      <c r="H21" s="192">
        <v>3.4395699999999998</v>
      </c>
      <c r="I21" s="193" t="s">
        <v>77</v>
      </c>
      <c r="J21" s="194">
        <v>2225</v>
      </c>
      <c r="K21" s="194">
        <v>7653.0432499999997</v>
      </c>
      <c r="M21"/>
      <c r="N21"/>
      <c r="O21"/>
      <c r="BE21" s="84"/>
    </row>
    <row r="22" spans="1:57" s="83" customFormat="1" ht="33" customHeight="1">
      <c r="A22" s="189">
        <v>18</v>
      </c>
      <c r="B22" s="92" t="s">
        <v>78</v>
      </c>
      <c r="C22" s="92" t="s">
        <v>74</v>
      </c>
      <c r="D22" s="92" t="s">
        <v>75</v>
      </c>
      <c r="E22" s="190" t="s">
        <v>92</v>
      </c>
      <c r="F22" s="191">
        <v>197.6340909090909</v>
      </c>
      <c r="G22" s="195">
        <v>22</v>
      </c>
      <c r="H22" s="192">
        <v>4.34795</v>
      </c>
      <c r="I22" s="193" t="s">
        <v>77</v>
      </c>
      <c r="J22" s="194">
        <v>2025</v>
      </c>
      <c r="K22" s="194">
        <v>8804.5987499999992</v>
      </c>
      <c r="M22" s="87"/>
      <c r="N22" s="86"/>
      <c r="O22" s="85"/>
      <c r="BE22" s="84"/>
    </row>
    <row r="23" spans="1:57" s="83" customFormat="1" ht="33" customHeight="1">
      <c r="A23" s="189">
        <v>19</v>
      </c>
      <c r="B23" s="92" t="s">
        <v>94</v>
      </c>
      <c r="C23" s="92" t="s">
        <v>74</v>
      </c>
      <c r="D23" s="92" t="s">
        <v>75</v>
      </c>
      <c r="E23" s="190" t="s">
        <v>92</v>
      </c>
      <c r="F23" s="191">
        <v>194.68</v>
      </c>
      <c r="G23" s="195">
        <v>8</v>
      </c>
      <c r="H23" s="192">
        <v>1.5574400000000002</v>
      </c>
      <c r="I23" s="193" t="s">
        <v>77</v>
      </c>
      <c r="J23" s="194">
        <v>2775</v>
      </c>
      <c r="K23" s="194">
        <v>4321.8960000000006</v>
      </c>
      <c r="O23" s="85"/>
      <c r="BE23" s="84"/>
    </row>
    <row r="24" spans="1:57" s="83" customFormat="1" ht="33" customHeight="1">
      <c r="A24" s="189">
        <v>20</v>
      </c>
      <c r="B24" s="92" t="s">
        <v>81</v>
      </c>
      <c r="C24" s="92" t="s">
        <v>74</v>
      </c>
      <c r="D24" s="92" t="s">
        <v>75</v>
      </c>
      <c r="E24" s="190" t="s">
        <v>92</v>
      </c>
      <c r="F24" s="191">
        <v>346.88499999999999</v>
      </c>
      <c r="G24" s="195">
        <v>2</v>
      </c>
      <c r="H24" s="192">
        <v>0.69377</v>
      </c>
      <c r="I24" s="193" t="s">
        <v>77</v>
      </c>
      <c r="J24" s="194">
        <v>2325</v>
      </c>
      <c r="K24" s="194">
        <v>1613.0152499999999</v>
      </c>
      <c r="O24" s="85"/>
      <c r="BE24" s="84"/>
    </row>
    <row r="25" spans="1:57" s="83" customFormat="1" ht="33" customHeight="1">
      <c r="A25" s="189">
        <v>21</v>
      </c>
      <c r="B25" s="92" t="s">
        <v>82</v>
      </c>
      <c r="C25" s="92" t="s">
        <v>74</v>
      </c>
      <c r="D25" s="92" t="s">
        <v>75</v>
      </c>
      <c r="E25" s="190" t="s">
        <v>92</v>
      </c>
      <c r="F25" s="191">
        <v>144.977</v>
      </c>
      <c r="G25" s="195">
        <v>10</v>
      </c>
      <c r="H25" s="192">
        <v>1.44977</v>
      </c>
      <c r="I25" s="193" t="s">
        <v>77</v>
      </c>
      <c r="J25" s="194">
        <v>2575</v>
      </c>
      <c r="K25" s="194">
        <v>3733.1577499999999</v>
      </c>
      <c r="O25" s="85"/>
      <c r="BE25" s="84"/>
    </row>
    <row r="26" spans="1:57" s="83" customFormat="1" ht="33" customHeight="1">
      <c r="A26" s="189">
        <v>22</v>
      </c>
      <c r="B26" s="92" t="s">
        <v>95</v>
      </c>
      <c r="C26" s="92" t="s">
        <v>74</v>
      </c>
      <c r="D26" s="92" t="s">
        <v>75</v>
      </c>
      <c r="E26" s="190" t="s">
        <v>92</v>
      </c>
      <c r="F26" s="191">
        <v>345.964</v>
      </c>
      <c r="G26" s="195">
        <v>20</v>
      </c>
      <c r="H26" s="192">
        <v>6.9192799999999997</v>
      </c>
      <c r="I26" s="193" t="s">
        <v>77</v>
      </c>
      <c r="J26" s="194">
        <v>1800</v>
      </c>
      <c r="K26" s="194">
        <v>12454.704</v>
      </c>
      <c r="O26" s="85"/>
      <c r="BE26" s="84"/>
    </row>
    <row r="27" spans="1:57" s="83" customFormat="1" ht="33" customHeight="1">
      <c r="A27" s="189">
        <v>23</v>
      </c>
      <c r="B27" s="92" t="s">
        <v>96</v>
      </c>
      <c r="C27" s="92" t="s">
        <v>74</v>
      </c>
      <c r="D27" s="92" t="s">
        <v>75</v>
      </c>
      <c r="E27" s="190" t="s">
        <v>92</v>
      </c>
      <c r="F27" s="191">
        <v>1372.1863636363637</v>
      </c>
      <c r="G27" s="195">
        <v>11</v>
      </c>
      <c r="H27" s="192">
        <v>15.094049999999999</v>
      </c>
      <c r="I27" s="193" t="s">
        <v>77</v>
      </c>
      <c r="J27" s="194">
        <v>1250</v>
      </c>
      <c r="K27" s="194">
        <v>18867.5625</v>
      </c>
      <c r="O27" s="85"/>
      <c r="BE27" s="84"/>
    </row>
    <row r="28" spans="1:57" s="83" customFormat="1" ht="33" customHeight="1">
      <c r="A28" s="189">
        <v>24</v>
      </c>
      <c r="B28" s="92" t="s">
        <v>84</v>
      </c>
      <c r="C28" s="92" t="s">
        <v>74</v>
      </c>
      <c r="D28" s="92" t="s">
        <v>85</v>
      </c>
      <c r="E28" s="190" t="s">
        <v>92</v>
      </c>
      <c r="F28" s="191">
        <v>102.87535714285713</v>
      </c>
      <c r="G28" s="195">
        <v>28</v>
      </c>
      <c r="H28" s="192">
        <v>2.8805099999999997</v>
      </c>
      <c r="I28" s="193" t="s">
        <v>77</v>
      </c>
      <c r="J28" s="194">
        <v>3450</v>
      </c>
      <c r="K28" s="194">
        <v>9937.7594999999983</v>
      </c>
      <c r="O28" s="85"/>
      <c r="BE28" s="84"/>
    </row>
    <row r="29" spans="1:57" s="83" customFormat="1" ht="33" customHeight="1">
      <c r="A29" s="189">
        <v>25</v>
      </c>
      <c r="B29" s="92" t="s">
        <v>73</v>
      </c>
      <c r="C29" s="92" t="s">
        <v>74</v>
      </c>
      <c r="D29" s="92" t="s">
        <v>85</v>
      </c>
      <c r="E29" s="190" t="s">
        <v>92</v>
      </c>
      <c r="F29" s="191">
        <v>109.795</v>
      </c>
      <c r="G29" s="195">
        <v>2</v>
      </c>
      <c r="H29" s="192">
        <v>0.21959000000000001</v>
      </c>
      <c r="I29" s="193" t="s">
        <v>77</v>
      </c>
      <c r="J29" s="194">
        <v>3375</v>
      </c>
      <c r="K29" s="194">
        <v>741.11625000000004</v>
      </c>
      <c r="O29" s="85"/>
      <c r="BE29" s="84"/>
    </row>
    <row r="30" spans="1:57" s="83" customFormat="1" ht="33" customHeight="1">
      <c r="A30" s="189">
        <v>26</v>
      </c>
      <c r="B30" s="92" t="s">
        <v>86</v>
      </c>
      <c r="C30" s="92" t="s">
        <v>74</v>
      </c>
      <c r="D30" s="92" t="s">
        <v>85</v>
      </c>
      <c r="E30" s="190" t="s">
        <v>92</v>
      </c>
      <c r="F30" s="191">
        <v>179.215</v>
      </c>
      <c r="G30" s="195">
        <v>4</v>
      </c>
      <c r="H30" s="192">
        <v>0.71686000000000005</v>
      </c>
      <c r="I30" s="193" t="s">
        <v>77</v>
      </c>
      <c r="J30" s="194">
        <v>2800</v>
      </c>
      <c r="K30" s="194">
        <v>2007.2080000000001</v>
      </c>
      <c r="O30" s="85"/>
      <c r="BE30" s="84"/>
    </row>
    <row r="31" spans="1:57" s="83" customFormat="1" ht="33" customHeight="1">
      <c r="A31" s="189">
        <v>27</v>
      </c>
      <c r="B31" s="92" t="s">
        <v>97</v>
      </c>
      <c r="C31" s="92" t="s">
        <v>74</v>
      </c>
      <c r="D31" s="92" t="s">
        <v>87</v>
      </c>
      <c r="E31" s="190" t="s">
        <v>92</v>
      </c>
      <c r="F31" s="191">
        <v>906.44</v>
      </c>
      <c r="G31" s="195">
        <v>1</v>
      </c>
      <c r="H31" s="192">
        <v>0.90644000000000002</v>
      </c>
      <c r="I31" s="193" t="s">
        <v>77</v>
      </c>
      <c r="J31" s="194">
        <v>2150</v>
      </c>
      <c r="K31" s="194">
        <v>1948.846</v>
      </c>
      <c r="O31" s="85"/>
      <c r="BE31" s="84"/>
    </row>
    <row r="32" spans="1:57" s="83" customFormat="1" ht="33" customHeight="1">
      <c r="A32" s="189">
        <v>28</v>
      </c>
      <c r="B32" s="92" t="s">
        <v>82</v>
      </c>
      <c r="C32" s="92" t="s">
        <v>74</v>
      </c>
      <c r="D32" s="92" t="s">
        <v>87</v>
      </c>
      <c r="E32" s="190" t="s">
        <v>92</v>
      </c>
      <c r="F32" s="191">
        <v>49.411818181818177</v>
      </c>
      <c r="G32" s="195">
        <v>22</v>
      </c>
      <c r="H32" s="192">
        <v>1.0870599999999999</v>
      </c>
      <c r="I32" s="193" t="s">
        <v>77</v>
      </c>
      <c r="J32" s="194">
        <v>4900</v>
      </c>
      <c r="K32" s="194">
        <v>5326.5939999999991</v>
      </c>
      <c r="O32" s="85"/>
      <c r="BE32" s="84"/>
    </row>
    <row r="33" spans="1:57" s="83" customFormat="1" ht="33" customHeight="1">
      <c r="A33" s="189">
        <v>29</v>
      </c>
      <c r="B33" s="92" t="s">
        <v>88</v>
      </c>
      <c r="C33" s="92" t="s">
        <v>74</v>
      </c>
      <c r="D33" s="92" t="s">
        <v>87</v>
      </c>
      <c r="E33" s="190" t="s">
        <v>92</v>
      </c>
      <c r="F33" s="191">
        <v>440.97818181818178</v>
      </c>
      <c r="G33" s="195">
        <v>11</v>
      </c>
      <c r="H33" s="192">
        <v>4.8507599999999993</v>
      </c>
      <c r="I33" s="193" t="s">
        <v>77</v>
      </c>
      <c r="J33" s="194">
        <v>1625</v>
      </c>
      <c r="K33" s="194">
        <v>7882.4849999999988</v>
      </c>
      <c r="O33" s="85"/>
      <c r="BE33" s="84"/>
    </row>
    <row r="34" spans="1:57" s="83" customFormat="1" ht="33" customHeight="1">
      <c r="A34" s="189">
        <v>30</v>
      </c>
      <c r="B34" s="92" t="s">
        <v>98</v>
      </c>
      <c r="C34" s="92" t="s">
        <v>74</v>
      </c>
      <c r="D34" s="92" t="s">
        <v>87</v>
      </c>
      <c r="E34" s="190" t="s">
        <v>92</v>
      </c>
      <c r="F34" s="191">
        <v>1192.8340000000001</v>
      </c>
      <c r="G34" s="195">
        <v>10</v>
      </c>
      <c r="H34" s="192">
        <v>11.92834</v>
      </c>
      <c r="I34" s="193" t="s">
        <v>77</v>
      </c>
      <c r="J34" s="194">
        <v>1575</v>
      </c>
      <c r="K34" s="194">
        <v>18787.1355</v>
      </c>
      <c r="O34" s="85"/>
      <c r="BE34" s="84"/>
    </row>
    <row r="35" spans="1:57" s="83" customFormat="1" ht="33" customHeight="1">
      <c r="A35" s="189">
        <v>31</v>
      </c>
      <c r="B35" s="92" t="s">
        <v>93</v>
      </c>
      <c r="C35" s="92" t="s">
        <v>74</v>
      </c>
      <c r="D35" s="92" t="s">
        <v>99</v>
      </c>
      <c r="E35" s="190" t="s">
        <v>92</v>
      </c>
      <c r="F35" s="191">
        <v>53.317500000000003</v>
      </c>
      <c r="G35" s="195">
        <v>4</v>
      </c>
      <c r="H35" s="192">
        <v>0.21327000000000002</v>
      </c>
      <c r="I35" s="193" t="s">
        <v>77</v>
      </c>
      <c r="J35" s="194">
        <v>3350</v>
      </c>
      <c r="K35" s="194">
        <v>714.45450000000005</v>
      </c>
      <c r="O35" s="85"/>
      <c r="BE35" s="84"/>
    </row>
    <row r="36" spans="1:57" s="83" customFormat="1" ht="33" customHeight="1">
      <c r="A36" s="189">
        <v>32</v>
      </c>
      <c r="B36" s="92" t="s">
        <v>78</v>
      </c>
      <c r="C36" s="92" t="s">
        <v>74</v>
      </c>
      <c r="D36" s="92" t="s">
        <v>99</v>
      </c>
      <c r="E36" s="190" t="s">
        <v>92</v>
      </c>
      <c r="F36" s="191">
        <v>229.80875000000003</v>
      </c>
      <c r="G36" s="195">
        <v>24</v>
      </c>
      <c r="H36" s="192">
        <v>5.515410000000001</v>
      </c>
      <c r="I36" s="193" t="s">
        <v>77</v>
      </c>
      <c r="J36" s="194">
        <v>1875</v>
      </c>
      <c r="K36" s="194">
        <v>10341.393750000001</v>
      </c>
      <c r="O36" s="85"/>
      <c r="BE36" s="84"/>
    </row>
    <row r="37" spans="1:57" s="83" customFormat="1" ht="33" customHeight="1">
      <c r="A37" s="189">
        <v>33</v>
      </c>
      <c r="B37" s="92" t="s">
        <v>100</v>
      </c>
      <c r="C37" s="92" t="s">
        <v>74</v>
      </c>
      <c r="D37" s="92"/>
      <c r="E37" s="190" t="s">
        <v>76</v>
      </c>
      <c r="F37" s="191"/>
      <c r="G37" s="195"/>
      <c r="H37" s="192">
        <v>3</v>
      </c>
      <c r="I37" s="193" t="s">
        <v>77</v>
      </c>
      <c r="J37" s="194">
        <v>1650</v>
      </c>
      <c r="K37" s="194">
        <f>Table18[[#This Row],[Rate ]]*Table18[[#This Row],[QTY]]</f>
        <v>4950</v>
      </c>
      <c r="O37" s="85"/>
      <c r="BE37" s="84"/>
    </row>
    <row r="38" spans="1:57" s="83" customFormat="1" ht="33" customHeight="1">
      <c r="A38" s="189">
        <v>34</v>
      </c>
      <c r="B38" s="92" t="s">
        <v>100</v>
      </c>
      <c r="C38" s="92" t="s">
        <v>74</v>
      </c>
      <c r="D38" s="92"/>
      <c r="E38" s="190" t="s">
        <v>92</v>
      </c>
      <c r="F38" s="191"/>
      <c r="G38" s="195"/>
      <c r="H38" s="192">
        <v>6</v>
      </c>
      <c r="I38" s="193" t="s">
        <v>77</v>
      </c>
      <c r="J38" s="194">
        <v>1650</v>
      </c>
      <c r="K38" s="194">
        <f>Table18[[#This Row],[Rate ]]*Table18[[#This Row],[QTY]]</f>
        <v>9900</v>
      </c>
      <c r="O38" s="85"/>
      <c r="BE38" s="84"/>
    </row>
    <row r="39" spans="1:57" s="83" customFormat="1" ht="33" customHeight="1">
      <c r="A39" s="189"/>
      <c r="B39" s="179" t="s">
        <v>102</v>
      </c>
      <c r="C39" s="92"/>
      <c r="D39" s="92"/>
      <c r="E39" s="190" t="s">
        <v>101</v>
      </c>
      <c r="F39" s="191"/>
      <c r="G39" s="195"/>
      <c r="H39" s="192"/>
      <c r="I39" s="193"/>
      <c r="J39" s="194"/>
      <c r="K39" s="194"/>
      <c r="O39" s="85"/>
      <c r="BE39" s="84"/>
    </row>
    <row r="40" spans="1:57" s="83" customFormat="1" ht="33" customHeight="1">
      <c r="A40" s="189">
        <v>35</v>
      </c>
      <c r="B40" s="92" t="s">
        <v>103</v>
      </c>
      <c r="C40" s="92" t="s">
        <v>104</v>
      </c>
      <c r="D40" s="92" t="s">
        <v>91</v>
      </c>
      <c r="E40" s="190" t="s">
        <v>76</v>
      </c>
      <c r="F40" s="191"/>
      <c r="G40" s="195"/>
      <c r="H40" s="192">
        <v>820</v>
      </c>
      <c r="I40" s="193" t="s">
        <v>105</v>
      </c>
      <c r="J40" s="194">
        <v>15.25</v>
      </c>
      <c r="K40" s="194">
        <v>12505</v>
      </c>
      <c r="O40" s="85"/>
      <c r="BE40" s="84"/>
    </row>
    <row r="41" spans="1:57" s="83" customFormat="1" ht="33" customHeight="1">
      <c r="A41" s="189">
        <v>36</v>
      </c>
      <c r="B41" s="92" t="s">
        <v>106</v>
      </c>
      <c r="C41" s="92" t="s">
        <v>104</v>
      </c>
      <c r="D41" s="92" t="s">
        <v>91</v>
      </c>
      <c r="E41" s="190" t="s">
        <v>76</v>
      </c>
      <c r="F41" s="191"/>
      <c r="G41" s="195"/>
      <c r="H41" s="192">
        <v>440</v>
      </c>
      <c r="I41" s="193" t="s">
        <v>105</v>
      </c>
      <c r="J41" s="194">
        <v>15.5</v>
      </c>
      <c r="K41" s="194">
        <v>6820</v>
      </c>
      <c r="O41" s="85"/>
      <c r="BE41" s="84"/>
    </row>
    <row r="42" spans="1:57" s="83" customFormat="1" ht="33" customHeight="1">
      <c r="A42" s="189">
        <v>37</v>
      </c>
      <c r="B42" s="92" t="s">
        <v>107</v>
      </c>
      <c r="C42" s="92" t="s">
        <v>104</v>
      </c>
      <c r="D42" s="92" t="s">
        <v>91</v>
      </c>
      <c r="E42" s="190" t="s">
        <v>92</v>
      </c>
      <c r="F42" s="191"/>
      <c r="G42" s="195"/>
      <c r="H42" s="192">
        <v>320</v>
      </c>
      <c r="I42" s="193" t="s">
        <v>105</v>
      </c>
      <c r="J42" s="194">
        <v>20.5</v>
      </c>
      <c r="K42" s="194">
        <v>6560</v>
      </c>
      <c r="O42" s="85"/>
      <c r="BE42" s="84"/>
    </row>
    <row r="43" spans="1:57" s="83" customFormat="1" ht="33" customHeight="1">
      <c r="A43" s="189">
        <v>38</v>
      </c>
      <c r="B43" s="92" t="s">
        <v>108</v>
      </c>
      <c r="C43" s="92" t="s">
        <v>104</v>
      </c>
      <c r="D43" s="92" t="s">
        <v>91</v>
      </c>
      <c r="E43" s="190" t="s">
        <v>92</v>
      </c>
      <c r="F43" s="191"/>
      <c r="G43" s="195"/>
      <c r="H43" s="192">
        <v>1080</v>
      </c>
      <c r="I43" s="193" t="s">
        <v>105</v>
      </c>
      <c r="J43" s="194">
        <v>16.75</v>
      </c>
      <c r="K43" s="194">
        <v>18090</v>
      </c>
      <c r="O43" s="85"/>
      <c r="BE43" s="84"/>
    </row>
    <row r="44" spans="1:57" s="83" customFormat="1" ht="33" customHeight="1">
      <c r="A44" s="189">
        <v>39</v>
      </c>
      <c r="B44" s="92" t="s">
        <v>106</v>
      </c>
      <c r="C44" s="92" t="s">
        <v>104</v>
      </c>
      <c r="D44" s="92" t="s">
        <v>91</v>
      </c>
      <c r="E44" s="190" t="s">
        <v>92</v>
      </c>
      <c r="F44" s="191"/>
      <c r="G44" s="195"/>
      <c r="H44" s="192">
        <v>1160</v>
      </c>
      <c r="I44" s="193" t="s">
        <v>105</v>
      </c>
      <c r="J44" s="194">
        <v>15.5</v>
      </c>
      <c r="K44" s="194">
        <v>17980</v>
      </c>
      <c r="O44" s="85"/>
      <c r="BE44" s="84"/>
    </row>
    <row r="45" spans="1:57" s="204" customFormat="1" ht="33" customHeight="1">
      <c r="A45" s="196"/>
      <c r="B45" s="197"/>
      <c r="C45" s="197"/>
      <c r="D45" s="197"/>
      <c r="E45" s="198"/>
      <c r="F45" s="199"/>
      <c r="G45" s="200"/>
      <c r="H45" s="201"/>
      <c r="I45" s="202"/>
      <c r="J45" s="203" t="s">
        <v>109</v>
      </c>
      <c r="K45" s="203">
        <v>255083.79099999997</v>
      </c>
      <c r="O45" s="205"/>
      <c r="BE45" s="206"/>
    </row>
  </sheetData>
  <phoneticPr fontId="53" type="noConversion"/>
  <pageMargins left="0.7" right="0.7" top="0.75" bottom="0.75" header="0.3" footer="0.3"/>
  <pageSetup paperSize="9" scale="51"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FB29C-9D37-4CB5-A352-F48E4FB25F16}">
  <sheetPr codeName="Sheet1">
    <tabColor theme="0" tint="-0.249977111117893"/>
    <pageSetUpPr fitToPage="1"/>
  </sheetPr>
  <dimension ref="B1:N89"/>
  <sheetViews>
    <sheetView showGridLines="0" view="pageBreakPreview" zoomScale="30" zoomScaleNormal="40" zoomScaleSheetLayoutView="30" workbookViewId="0">
      <selection activeCell="F16" sqref="F16"/>
    </sheetView>
  </sheetViews>
  <sheetFormatPr defaultColWidth="8.81640625" defaultRowHeight="11.5"/>
  <cols>
    <col min="1" max="1" width="6" style="2" customWidth="1"/>
    <col min="2" max="2" width="21.54296875" style="97" customWidth="1"/>
    <col min="3" max="3" width="21.54296875" style="1" customWidth="1"/>
    <col min="4" max="4" width="184.81640625" style="2" customWidth="1"/>
    <col min="5" max="5" width="36.54296875" style="4" bestFit="1" customWidth="1"/>
    <col min="6" max="8" width="32" style="3" customWidth="1"/>
    <col min="9" max="9" width="28.81640625" style="3" customWidth="1"/>
    <col min="10" max="10" width="39" style="4" bestFit="1" customWidth="1"/>
    <col min="11" max="11" width="69.453125" style="98" customWidth="1"/>
    <col min="12" max="12" width="38.81640625" style="150" bestFit="1" customWidth="1"/>
    <col min="13" max="13" width="33.7265625" style="161" bestFit="1" customWidth="1"/>
    <col min="14" max="14" width="42.26953125" style="161" customWidth="1"/>
    <col min="15" max="15" width="36.1796875" style="2" customWidth="1"/>
    <col min="16" max="33" width="8.81640625" style="2"/>
    <col min="34" max="34" width="19.81640625" style="2" bestFit="1" customWidth="1"/>
    <col min="35" max="35" width="9.453125" style="2" bestFit="1" customWidth="1"/>
    <col min="36" max="16384" width="8.81640625" style="2"/>
  </cols>
  <sheetData>
    <row r="1" spans="2:14" ht="15.65" customHeight="1" thickBot="1"/>
    <row r="2" spans="2:14" ht="48.65" customHeight="1">
      <c r="I2" s="230" t="s">
        <v>6</v>
      </c>
      <c r="J2" s="230"/>
      <c r="K2" s="99" t="str">
        <f>'AFP Summary'!H8</f>
        <v>Doncaster Unit 02 &amp; 03</v>
      </c>
      <c r="L2" s="151"/>
    </row>
    <row r="3" spans="2:14" ht="48.65" customHeight="1">
      <c r="I3" s="100" t="s">
        <v>5</v>
      </c>
      <c r="J3" s="101"/>
      <c r="K3" s="102" t="str">
        <f>'AFP Summary'!B9</f>
        <v>Fit Out (UK) Ltd</v>
      </c>
      <c r="L3" s="152"/>
    </row>
    <row r="4" spans="2:14" ht="48.65" customHeight="1">
      <c r="E4" s="4" t="s">
        <v>20</v>
      </c>
      <c r="I4" s="100" t="s">
        <v>48</v>
      </c>
      <c r="J4" s="103"/>
      <c r="K4" s="104">
        <f>SUM(Table14[Value £])</f>
        <v>5000</v>
      </c>
      <c r="L4" s="152"/>
    </row>
    <row r="5" spans="2:14" ht="48.65" customHeight="1">
      <c r="C5" s="105"/>
      <c r="I5" s="100" t="s">
        <v>49</v>
      </c>
      <c r="J5" s="103"/>
      <c r="K5" s="106">
        <f>SUMIF(Table14[Status],"Agreed",Table14[Value £])</f>
        <v>0</v>
      </c>
      <c r="L5" s="153"/>
    </row>
    <row r="6" spans="2:14" ht="48.65" customHeight="1">
      <c r="C6" s="107" t="s">
        <v>46</v>
      </c>
      <c r="I6" s="100" t="s">
        <v>50</v>
      </c>
      <c r="J6" s="103"/>
      <c r="K6" s="106">
        <f>K4-K5</f>
        <v>5000</v>
      </c>
      <c r="L6" s="153"/>
    </row>
    <row r="7" spans="2:14" ht="48.65" customHeight="1">
      <c r="C7" s="107"/>
      <c r="I7" s="100" t="s">
        <v>63</v>
      </c>
      <c r="J7" s="103"/>
      <c r="K7" s="106">
        <f>SUM(M14:M91)</f>
        <v>0</v>
      </c>
      <c r="L7" s="153"/>
    </row>
    <row r="8" spans="2:14" ht="48.65" customHeight="1">
      <c r="C8" s="108" t="s">
        <v>1</v>
      </c>
      <c r="D8" s="109"/>
      <c r="I8" s="100" t="s">
        <v>51</v>
      </c>
      <c r="J8" s="103"/>
      <c r="K8" s="110">
        <f>IFERROR(K5/K4,"")</f>
        <v>0</v>
      </c>
      <c r="L8" s="154"/>
    </row>
    <row r="9" spans="2:14" s="116" customFormat="1" ht="48.65" customHeight="1">
      <c r="B9" s="111"/>
      <c r="C9" s="112" t="s">
        <v>2</v>
      </c>
      <c r="D9" s="109"/>
      <c r="E9" s="113"/>
      <c r="F9" s="114"/>
      <c r="G9" s="114"/>
      <c r="H9" s="114"/>
      <c r="I9" s="100" t="s">
        <v>52</v>
      </c>
      <c r="J9" s="103"/>
      <c r="K9" s="115">
        <f>COUNT(Table14[[ VO]])</f>
        <v>2</v>
      </c>
      <c r="L9" s="153"/>
      <c r="M9" s="162"/>
      <c r="N9" s="162"/>
    </row>
    <row r="10" spans="2:14" s="116" customFormat="1" ht="48.65" customHeight="1">
      <c r="B10" s="111"/>
      <c r="C10" s="231" t="s">
        <v>3</v>
      </c>
      <c r="D10" s="232"/>
      <c r="E10" s="113"/>
      <c r="F10" s="114"/>
      <c r="G10" s="114"/>
      <c r="H10" s="114"/>
      <c r="I10" s="100" t="s">
        <v>53</v>
      </c>
      <c r="J10" s="117"/>
      <c r="K10" s="115">
        <f>COUNTIF(Table14[Status],"Agreed")</f>
        <v>1</v>
      </c>
      <c r="L10" s="153"/>
      <c r="M10" s="162"/>
      <c r="N10" s="162"/>
    </row>
    <row r="11" spans="2:14" s="116" customFormat="1" ht="48.65" customHeight="1" thickBot="1">
      <c r="C11" s="112" t="s">
        <v>4</v>
      </c>
      <c r="D11" s="109"/>
      <c r="E11" s="113"/>
      <c r="F11" s="114"/>
      <c r="G11" s="114"/>
      <c r="H11" s="114"/>
      <c r="I11" s="118" t="s">
        <v>54</v>
      </c>
      <c r="J11" s="119"/>
      <c r="K11" s="120">
        <f>COUNTIF(Table14[Value £],"tbc")</f>
        <v>1</v>
      </c>
      <c r="L11" s="153"/>
      <c r="M11" s="162"/>
      <c r="N11" s="162"/>
    </row>
    <row r="12" spans="2:14" ht="20.149999999999999" customHeight="1"/>
    <row r="13" spans="2:14" s="121" customFormat="1" ht="87.75" customHeight="1">
      <c r="B13" s="123" t="s">
        <v>21</v>
      </c>
      <c r="C13" s="123" t="s">
        <v>55</v>
      </c>
      <c r="D13" s="123" t="s">
        <v>22</v>
      </c>
      <c r="E13" s="124" t="s">
        <v>23</v>
      </c>
      <c r="F13" s="125" t="s">
        <v>56</v>
      </c>
      <c r="G13" s="125" t="s">
        <v>57</v>
      </c>
      <c r="H13" s="125" t="s">
        <v>58</v>
      </c>
      <c r="I13" s="125" t="s">
        <v>59</v>
      </c>
      <c r="J13" s="124" t="s">
        <v>24</v>
      </c>
      <c r="K13" s="123" t="s">
        <v>47</v>
      </c>
      <c r="L13" s="155" t="s">
        <v>33</v>
      </c>
      <c r="M13" s="125" t="s">
        <v>34</v>
      </c>
      <c r="N13" s="125" t="s">
        <v>62</v>
      </c>
    </row>
    <row r="14" spans="2:14" s="5" customFormat="1" ht="65.150000000000006" customHeight="1">
      <c r="B14" s="126"/>
      <c r="C14" s="127">
        <v>1</v>
      </c>
      <c r="D14" s="128" t="s">
        <v>112</v>
      </c>
      <c r="E14" s="129">
        <v>45512</v>
      </c>
      <c r="F14" s="130">
        <v>0</v>
      </c>
      <c r="G14" s="130"/>
      <c r="H14" s="130"/>
      <c r="I14" s="131" t="s">
        <v>60</v>
      </c>
      <c r="J14" s="132">
        <v>45523</v>
      </c>
      <c r="K14" s="133"/>
      <c r="L14" s="156">
        <v>1</v>
      </c>
      <c r="M14" s="131">
        <f>IF(Table14[[#This Row],[Progress %]]="","",Table14[[#This Row],[Progress %]]*Table14[[#This Row],[Value £]])</f>
        <v>0</v>
      </c>
      <c r="N14" s="138" t="s">
        <v>66</v>
      </c>
    </row>
    <row r="15" spans="2:14" s="5" customFormat="1" ht="65.150000000000006" customHeight="1">
      <c r="B15" s="134"/>
      <c r="C15" s="127">
        <v>2</v>
      </c>
      <c r="D15" s="135" t="s">
        <v>113</v>
      </c>
      <c r="E15" s="129"/>
      <c r="F15" s="130" t="s">
        <v>65</v>
      </c>
      <c r="G15" s="130"/>
      <c r="H15" s="130"/>
      <c r="I15" s="136" t="s">
        <v>50</v>
      </c>
      <c r="J15" s="137"/>
      <c r="K15" s="138"/>
      <c r="L15" s="157"/>
      <c r="M15" s="131" t="str">
        <f>IF(Table14[[#This Row],[Progress %]]="","",Table14[[#This Row],[Progress %]]*Table14[[#This Row],[Value £]])</f>
        <v/>
      </c>
      <c r="N15" s="165"/>
    </row>
    <row r="16" spans="2:14" s="5" customFormat="1" ht="65.150000000000006" customHeight="1">
      <c r="B16" s="126"/>
      <c r="C16" s="127"/>
      <c r="D16" s="128" t="s">
        <v>117</v>
      </c>
      <c r="E16" s="129"/>
      <c r="F16" s="130">
        <v>5000</v>
      </c>
      <c r="G16" s="130"/>
      <c r="H16" s="130"/>
      <c r="I16" s="131"/>
      <c r="J16" s="132"/>
      <c r="K16" s="133"/>
      <c r="L16" s="156"/>
      <c r="M16" s="131"/>
      <c r="N16" s="138"/>
    </row>
    <row r="17" spans="2:14" s="5" customFormat="1" ht="65.150000000000006" customHeight="1">
      <c r="B17" s="126"/>
      <c r="C17" s="127"/>
      <c r="D17" s="128"/>
      <c r="E17" s="129"/>
      <c r="F17" s="130"/>
      <c r="G17" s="130"/>
      <c r="H17" s="130"/>
      <c r="I17" s="131"/>
      <c r="J17" s="132"/>
      <c r="K17" s="133"/>
      <c r="L17" s="156"/>
      <c r="M17" s="131"/>
      <c r="N17" s="138"/>
    </row>
    <row r="18" spans="2:14" s="5" customFormat="1" ht="65.150000000000006" customHeight="1">
      <c r="B18" s="126"/>
      <c r="C18" s="127"/>
      <c r="D18" s="128"/>
      <c r="E18" s="129"/>
      <c r="F18" s="130"/>
      <c r="G18" s="130"/>
      <c r="H18" s="130"/>
      <c r="I18" s="131"/>
      <c r="J18" s="132"/>
      <c r="K18" s="138"/>
      <c r="L18" s="156"/>
      <c r="M18" s="131"/>
      <c r="N18" s="138"/>
    </row>
    <row r="19" spans="2:14" s="5" customFormat="1" ht="65.150000000000006" customHeight="1">
      <c r="B19" s="126"/>
      <c r="C19" s="127"/>
      <c r="D19" s="173"/>
      <c r="E19" s="129"/>
      <c r="F19" s="130"/>
      <c r="G19" s="130"/>
      <c r="H19" s="130"/>
      <c r="I19" s="131"/>
      <c r="J19" s="132"/>
      <c r="K19" s="139"/>
      <c r="L19" s="158"/>
      <c r="M19" s="163"/>
      <c r="N19" s="138"/>
    </row>
    <row r="20" spans="2:14" s="6" customFormat="1" ht="65.150000000000006" customHeight="1">
      <c r="B20" s="126"/>
      <c r="C20" s="127"/>
      <c r="D20" s="135"/>
      <c r="E20" s="129"/>
      <c r="F20" s="130"/>
      <c r="G20" s="130"/>
      <c r="H20" s="130"/>
      <c r="I20" s="131"/>
      <c r="J20" s="132"/>
      <c r="K20" s="133"/>
      <c r="L20" s="156"/>
      <c r="M20" s="131"/>
      <c r="N20" s="138"/>
    </row>
    <row r="21" spans="2:14" s="6" customFormat="1" ht="65.150000000000006" customHeight="1">
      <c r="B21" s="126"/>
      <c r="C21" s="127"/>
      <c r="D21" s="128"/>
      <c r="E21" s="129"/>
      <c r="F21" s="130"/>
      <c r="G21" s="130"/>
      <c r="H21" s="130"/>
      <c r="I21" s="131"/>
      <c r="J21" s="132"/>
      <c r="K21" s="133"/>
      <c r="L21" s="156"/>
      <c r="M21" s="131"/>
      <c r="N21" s="138"/>
    </row>
    <row r="22" spans="2:14" s="6" customFormat="1" ht="65.150000000000006" customHeight="1">
      <c r="B22" s="126"/>
      <c r="C22" s="127"/>
      <c r="D22" s="128"/>
      <c r="E22" s="129"/>
      <c r="F22" s="130"/>
      <c r="G22" s="130"/>
      <c r="H22" s="130"/>
      <c r="I22" s="131"/>
      <c r="J22" s="132"/>
      <c r="K22" s="133"/>
      <c r="L22" s="156"/>
      <c r="M22" s="131"/>
      <c r="N22" s="138"/>
    </row>
    <row r="23" spans="2:14" s="6" customFormat="1" ht="65.150000000000006" customHeight="1">
      <c r="B23" s="126"/>
      <c r="C23" s="127" t="str">
        <f>IF(Table14[[#This Row],[Description]]="","",C22+1)</f>
        <v/>
      </c>
      <c r="D23" s="128"/>
      <c r="E23" s="129"/>
      <c r="F23" s="130"/>
      <c r="G23" s="130"/>
      <c r="H23" s="130"/>
      <c r="I23" s="131"/>
      <c r="J23" s="132"/>
      <c r="K23" s="133"/>
      <c r="L23" s="156"/>
      <c r="M23" s="131" t="str">
        <f>IF(Table14[[#This Row],[Progress %]]="","",Table14[[#This Row],[Progress %]]*Table14[[#This Row],[Value £]])</f>
        <v/>
      </c>
      <c r="N23" s="138"/>
    </row>
    <row r="24" spans="2:14" s="6" customFormat="1" ht="65.150000000000006" customHeight="1">
      <c r="B24" s="126"/>
      <c r="C24" s="127" t="str">
        <f>IF(Table14[[#This Row],[Description]]="","",C23+1)</f>
        <v/>
      </c>
      <c r="D24" s="128"/>
      <c r="E24" s="129"/>
      <c r="F24" s="130"/>
      <c r="G24" s="130"/>
      <c r="H24" s="130"/>
      <c r="I24" s="131"/>
      <c r="J24" s="132"/>
      <c r="K24" s="133"/>
      <c r="L24" s="156"/>
      <c r="M24" s="131" t="str">
        <f>IF(Table14[[#This Row],[Progress %]]="","",Table14[[#This Row],[Progress %]]*Table14[[#This Row],[Value £]])</f>
        <v/>
      </c>
      <c r="N24" s="138"/>
    </row>
    <row r="25" spans="2:14" s="6" customFormat="1" ht="65.150000000000006" customHeight="1">
      <c r="B25" s="126"/>
      <c r="C25" s="127" t="str">
        <f>IF(Table14[[#This Row],[Description]]="","",C24+1)</f>
        <v/>
      </c>
      <c r="D25" s="128"/>
      <c r="E25" s="129"/>
      <c r="F25" s="130"/>
      <c r="G25" s="130"/>
      <c r="H25" s="130"/>
      <c r="I25" s="131"/>
      <c r="J25" s="132"/>
      <c r="K25" s="133"/>
      <c r="L25" s="156"/>
      <c r="M25" s="131" t="str">
        <f>IF(Table14[[#This Row],[Progress %]]="","",Table14[[#This Row],[Progress %]]*Table14[[#This Row],[Value £]])</f>
        <v/>
      </c>
      <c r="N25" s="138"/>
    </row>
    <row r="26" spans="2:14" s="6" customFormat="1" ht="65.150000000000006" customHeight="1">
      <c r="B26" s="126"/>
      <c r="C26" s="127" t="str">
        <f>IF(Table14[[#This Row],[Description]]="","",C25+1)</f>
        <v/>
      </c>
      <c r="D26" s="128"/>
      <c r="E26" s="129"/>
      <c r="F26" s="130"/>
      <c r="G26" s="130"/>
      <c r="H26" s="130"/>
      <c r="I26" s="131"/>
      <c r="J26" s="132"/>
      <c r="K26" s="133"/>
      <c r="L26" s="156"/>
      <c r="M26" s="131" t="str">
        <f>IF(Table14[[#This Row],[Progress %]]="","",Table14[[#This Row],[Progress %]]*Table14[[#This Row],[Value £]])</f>
        <v/>
      </c>
      <c r="N26" s="138"/>
    </row>
    <row r="27" spans="2:14" s="6" customFormat="1" ht="65.150000000000006" customHeight="1">
      <c r="B27" s="126"/>
      <c r="C27" s="127" t="str">
        <f>IF(Table14[[#This Row],[Description]]="","",C26+1)</f>
        <v/>
      </c>
      <c r="D27" s="128"/>
      <c r="E27" s="129"/>
      <c r="F27" s="130"/>
      <c r="G27" s="130"/>
      <c r="H27" s="130"/>
      <c r="I27" s="131"/>
      <c r="J27" s="132"/>
      <c r="K27" s="133"/>
      <c r="L27" s="156"/>
      <c r="M27" s="131" t="str">
        <f>IF(Table14[[#This Row],[Progress %]]="","",Table14[[#This Row],[Progress %]]*Table14[[#This Row],[Value £]])</f>
        <v/>
      </c>
      <c r="N27" s="138"/>
    </row>
    <row r="28" spans="2:14" s="6" customFormat="1" ht="65.150000000000006" customHeight="1">
      <c r="B28" s="126"/>
      <c r="C28" s="127" t="str">
        <f>IF(Table14[[#This Row],[Description]]="","",C27+1)</f>
        <v/>
      </c>
      <c r="D28" s="128"/>
      <c r="E28" s="129"/>
      <c r="F28" s="130"/>
      <c r="G28" s="130"/>
      <c r="H28" s="130"/>
      <c r="I28" s="131"/>
      <c r="J28" s="132"/>
      <c r="K28" s="133"/>
      <c r="L28" s="156"/>
      <c r="M28" s="131" t="str">
        <f>IF(Table14[[#This Row],[Progress %]]="","",Table14[[#This Row],[Progress %]]*Table14[[#This Row],[Value £]])</f>
        <v/>
      </c>
      <c r="N28" s="138"/>
    </row>
    <row r="29" spans="2:14" s="6" customFormat="1" ht="65.150000000000006" customHeight="1">
      <c r="B29" s="126"/>
      <c r="C29" s="127" t="str">
        <f>IF(Table14[[#This Row],[Description]]="","",C28+1)</f>
        <v/>
      </c>
      <c r="D29" s="128"/>
      <c r="E29" s="129"/>
      <c r="F29" s="130"/>
      <c r="G29" s="130"/>
      <c r="H29" s="130"/>
      <c r="I29" s="131"/>
      <c r="J29" s="132"/>
      <c r="K29" s="133"/>
      <c r="L29" s="156"/>
      <c r="M29" s="131" t="str">
        <f>IF(Table14[[#This Row],[Progress %]]="","",Table14[[#This Row],[Progress %]]*Table14[[#This Row],[Value £]])</f>
        <v/>
      </c>
      <c r="N29" s="138"/>
    </row>
    <row r="30" spans="2:14" s="6" customFormat="1" ht="65.150000000000006" customHeight="1">
      <c r="B30" s="126"/>
      <c r="C30" s="127" t="str">
        <f>IF(Table14[[#This Row],[Description]]="","",C29+1)</f>
        <v/>
      </c>
      <c r="D30" s="128"/>
      <c r="E30" s="129"/>
      <c r="F30" s="130"/>
      <c r="G30" s="130"/>
      <c r="H30" s="130"/>
      <c r="I30" s="131"/>
      <c r="J30" s="132"/>
      <c r="K30" s="133"/>
      <c r="L30" s="156"/>
      <c r="M30" s="131" t="str">
        <f>IF(Table14[[#This Row],[Progress %]]="","",Table14[[#This Row],[Progress %]]*Table14[[#This Row],[Value £]])</f>
        <v/>
      </c>
      <c r="N30" s="138"/>
    </row>
    <row r="31" spans="2:14" s="6" customFormat="1" ht="65.150000000000006" customHeight="1">
      <c r="B31" s="126"/>
      <c r="C31" s="127" t="str">
        <f>IF(Table14[[#This Row],[Description]]="","",C30+1)</f>
        <v/>
      </c>
      <c r="D31" s="128"/>
      <c r="E31" s="129"/>
      <c r="F31" s="130"/>
      <c r="G31" s="130"/>
      <c r="H31" s="130"/>
      <c r="I31" s="131"/>
      <c r="J31" s="132"/>
      <c r="K31" s="133"/>
      <c r="L31" s="156"/>
      <c r="M31" s="131" t="str">
        <f>IF(Table14[[#This Row],[Progress %]]="","",Table14[[#This Row],[Progress %]]*Table14[[#This Row],[Value £]])</f>
        <v/>
      </c>
      <c r="N31" s="138"/>
    </row>
    <row r="32" spans="2:14" s="6" customFormat="1" ht="65.150000000000006" customHeight="1">
      <c r="B32" s="126"/>
      <c r="C32" s="127" t="str">
        <f>IF(Table14[[#This Row],[Description]]="","",C31+1)</f>
        <v/>
      </c>
      <c r="D32" s="128"/>
      <c r="E32" s="129"/>
      <c r="F32" s="130"/>
      <c r="G32" s="130"/>
      <c r="H32" s="130"/>
      <c r="I32" s="131"/>
      <c r="J32" s="132"/>
      <c r="K32" s="133"/>
      <c r="L32" s="156"/>
      <c r="M32" s="131" t="str">
        <f>IF(Table14[[#This Row],[Progress %]]="","",Table14[[#This Row],[Progress %]]*Table14[[#This Row],[Value £]])</f>
        <v/>
      </c>
      <c r="N32" s="138"/>
    </row>
    <row r="33" spans="2:14" s="6" customFormat="1" ht="65.150000000000006" customHeight="1">
      <c r="B33" s="126"/>
      <c r="C33" s="127" t="str">
        <f>IF(Table14[[#This Row],[Description]]="","",C32+1)</f>
        <v/>
      </c>
      <c r="D33" s="128"/>
      <c r="E33" s="129"/>
      <c r="F33" s="130"/>
      <c r="G33" s="130"/>
      <c r="H33" s="130"/>
      <c r="I33" s="131"/>
      <c r="J33" s="132"/>
      <c r="K33" s="133"/>
      <c r="L33" s="156"/>
      <c r="M33" s="131" t="str">
        <f>IF(Table14[[#This Row],[Progress %]]="","",Table14[[#This Row],[Progress %]]*Table14[[#This Row],[Value £]])</f>
        <v/>
      </c>
      <c r="N33" s="138"/>
    </row>
    <row r="34" spans="2:14" s="6" customFormat="1" ht="65.150000000000006" customHeight="1">
      <c r="B34" s="126"/>
      <c r="C34" s="127" t="str">
        <f>IF(Table14[[#This Row],[Description]]="","",C33+1)</f>
        <v/>
      </c>
      <c r="D34" s="128"/>
      <c r="E34" s="129"/>
      <c r="F34" s="130"/>
      <c r="G34" s="130"/>
      <c r="H34" s="130"/>
      <c r="I34" s="131"/>
      <c r="J34" s="132"/>
      <c r="K34" s="133"/>
      <c r="L34" s="156"/>
      <c r="M34" s="131" t="str">
        <f>IF(Table14[[#This Row],[Progress %]]="","",Table14[[#This Row],[Progress %]]*Table14[[#This Row],[Value £]])</f>
        <v/>
      </c>
      <c r="N34" s="138"/>
    </row>
    <row r="35" spans="2:14" s="6" customFormat="1" ht="65.150000000000006" customHeight="1">
      <c r="B35" s="126"/>
      <c r="C35" s="127" t="str">
        <f>IF(Table14[[#This Row],[Description]]="","",C34+1)</f>
        <v/>
      </c>
      <c r="D35" s="128"/>
      <c r="E35" s="129"/>
      <c r="F35" s="130"/>
      <c r="G35" s="130"/>
      <c r="H35" s="130"/>
      <c r="I35" s="131"/>
      <c r="J35" s="132"/>
      <c r="K35" s="133"/>
      <c r="L35" s="156"/>
      <c r="M35" s="131" t="str">
        <f>IF(Table14[[#This Row],[Progress %]]="","",Table14[[#This Row],[Progress %]]*Table14[[#This Row],[Value £]])</f>
        <v/>
      </c>
      <c r="N35" s="138"/>
    </row>
    <row r="36" spans="2:14" s="6" customFormat="1" ht="65.150000000000006" customHeight="1">
      <c r="B36" s="126"/>
      <c r="C36" s="127" t="str">
        <f>IF(Table14[[#This Row],[Description]]="","",C35+1)</f>
        <v/>
      </c>
      <c r="D36" s="128"/>
      <c r="E36" s="129"/>
      <c r="F36" s="130"/>
      <c r="G36" s="130"/>
      <c r="H36" s="130"/>
      <c r="I36" s="131"/>
      <c r="J36" s="132"/>
      <c r="K36" s="133"/>
      <c r="L36" s="156"/>
      <c r="M36" s="131" t="str">
        <f>IF(Table14[[#This Row],[Progress %]]="","",Table14[[#This Row],[Progress %]]*Table14[[#This Row],[Value £]])</f>
        <v/>
      </c>
      <c r="N36" s="138"/>
    </row>
    <row r="37" spans="2:14" s="6" customFormat="1" ht="65.150000000000006" customHeight="1">
      <c r="B37" s="126"/>
      <c r="C37" s="127" t="str">
        <f>IF(Table14[[#This Row],[Description]]="","",C36+1)</f>
        <v/>
      </c>
      <c r="D37" s="128"/>
      <c r="E37" s="129"/>
      <c r="F37" s="130"/>
      <c r="G37" s="130"/>
      <c r="H37" s="130"/>
      <c r="I37" s="131"/>
      <c r="J37" s="132"/>
      <c r="K37" s="133"/>
      <c r="L37" s="156"/>
      <c r="M37" s="131" t="str">
        <f>IF(Table14[[#This Row],[Progress %]]="","",Table14[[#This Row],[Progress %]]*Table14[[#This Row],[Value £]])</f>
        <v/>
      </c>
      <c r="N37" s="138"/>
    </row>
    <row r="38" spans="2:14" s="6" customFormat="1" ht="65.150000000000006" customHeight="1">
      <c r="B38" s="126"/>
      <c r="C38" s="127" t="str">
        <f>IF(Table14[[#This Row],[Description]]="","",C37+1)</f>
        <v/>
      </c>
      <c r="D38" s="128"/>
      <c r="E38" s="129"/>
      <c r="F38" s="130"/>
      <c r="G38" s="130"/>
      <c r="H38" s="130"/>
      <c r="I38" s="131"/>
      <c r="J38" s="132"/>
      <c r="K38" s="133"/>
      <c r="L38" s="156"/>
      <c r="M38" s="131" t="str">
        <f>IF(Table14[[#This Row],[Progress %]]="","",Table14[[#This Row],[Progress %]]*Table14[[#This Row],[Value £]])</f>
        <v/>
      </c>
      <c r="N38" s="138"/>
    </row>
    <row r="39" spans="2:14" s="6" customFormat="1" ht="65.150000000000006" customHeight="1">
      <c r="B39" s="126"/>
      <c r="C39" s="127" t="str">
        <f>IF(Table14[[#This Row],[Description]]="","",C38+1)</f>
        <v/>
      </c>
      <c r="D39" s="128"/>
      <c r="E39" s="129"/>
      <c r="F39" s="130"/>
      <c r="G39" s="130"/>
      <c r="H39" s="130"/>
      <c r="I39" s="131"/>
      <c r="J39" s="132"/>
      <c r="K39" s="133"/>
      <c r="L39" s="156"/>
      <c r="M39" s="131" t="str">
        <f>IF(Table14[[#This Row],[Progress %]]="","",Table14[[#This Row],[Progress %]]*Table14[[#This Row],[Value £]])</f>
        <v/>
      </c>
      <c r="N39" s="138"/>
    </row>
    <row r="40" spans="2:14" s="6" customFormat="1" ht="65.150000000000006" customHeight="1">
      <c r="B40" s="126"/>
      <c r="C40" s="127" t="str">
        <f>IF(Table14[[#This Row],[Description]]="","",C39+1)</f>
        <v/>
      </c>
      <c r="D40" s="128"/>
      <c r="E40" s="129"/>
      <c r="F40" s="130"/>
      <c r="G40" s="130"/>
      <c r="H40" s="130"/>
      <c r="I40" s="131"/>
      <c r="J40" s="132"/>
      <c r="K40" s="133"/>
      <c r="L40" s="156"/>
      <c r="M40" s="131" t="str">
        <f>IF(Table14[[#This Row],[Progress %]]="","",Table14[[#This Row],[Progress %]]*Table14[[#This Row],[Value £]])</f>
        <v/>
      </c>
      <c r="N40" s="138"/>
    </row>
    <row r="41" spans="2:14" s="6" customFormat="1" ht="65.150000000000006" customHeight="1">
      <c r="B41" s="126"/>
      <c r="C41" s="127" t="str">
        <f>IF(Table14[[#This Row],[Description]]="","",C40+1)</f>
        <v/>
      </c>
      <c r="D41" s="128"/>
      <c r="E41" s="129"/>
      <c r="F41" s="130"/>
      <c r="G41" s="130"/>
      <c r="H41" s="130"/>
      <c r="I41" s="131"/>
      <c r="J41" s="132"/>
      <c r="K41" s="133"/>
      <c r="L41" s="156"/>
      <c r="M41" s="131" t="str">
        <f>IF(Table14[[#This Row],[Progress %]]="","",Table14[[#This Row],[Progress %]]*Table14[[#This Row],[Value £]])</f>
        <v/>
      </c>
      <c r="N41" s="138"/>
    </row>
    <row r="42" spans="2:14" s="6" customFormat="1" ht="65.150000000000006" customHeight="1">
      <c r="B42" s="126"/>
      <c r="C42" s="127" t="str">
        <f>IF(Table14[[#This Row],[Description]]="","",C41+1)</f>
        <v/>
      </c>
      <c r="D42" s="128"/>
      <c r="E42" s="129"/>
      <c r="F42" s="130"/>
      <c r="G42" s="130"/>
      <c r="H42" s="130"/>
      <c r="I42" s="131"/>
      <c r="J42" s="132"/>
      <c r="K42" s="133"/>
      <c r="L42" s="156"/>
      <c r="M42" s="131" t="str">
        <f>IF(Table14[[#This Row],[Progress %]]="","",Table14[[#This Row],[Progress %]]*Table14[[#This Row],[Value £]])</f>
        <v/>
      </c>
      <c r="N42" s="138"/>
    </row>
    <row r="43" spans="2:14" s="6" customFormat="1" ht="65.150000000000006" customHeight="1">
      <c r="B43" s="126"/>
      <c r="C43" s="127" t="str">
        <f>IF(Table14[[#This Row],[Description]]="","",C42+1)</f>
        <v/>
      </c>
      <c r="D43" s="128"/>
      <c r="E43" s="129"/>
      <c r="F43" s="130"/>
      <c r="G43" s="130"/>
      <c r="H43" s="130"/>
      <c r="I43" s="131"/>
      <c r="J43" s="132"/>
      <c r="K43" s="133"/>
      <c r="L43" s="156"/>
      <c r="M43" s="131" t="str">
        <f>IF(Table14[[#This Row],[Progress %]]="","",Table14[[#This Row],[Progress %]]*Table14[[#This Row],[Value £]])</f>
        <v/>
      </c>
      <c r="N43" s="138"/>
    </row>
    <row r="44" spans="2:14" s="6" customFormat="1" ht="65.150000000000006" customHeight="1">
      <c r="B44" s="126"/>
      <c r="C44" s="127" t="str">
        <f>IF(Table14[[#This Row],[Description]]="","",C43+1)</f>
        <v/>
      </c>
      <c r="D44" s="128"/>
      <c r="E44" s="129"/>
      <c r="F44" s="130"/>
      <c r="G44" s="130"/>
      <c r="H44" s="130"/>
      <c r="I44" s="131"/>
      <c r="J44" s="132"/>
      <c r="K44" s="133"/>
      <c r="L44" s="156"/>
      <c r="M44" s="131" t="str">
        <f>IF(Table14[[#This Row],[Progress %]]="","",Table14[[#This Row],[Progress %]]*Table14[[#This Row],[Value £]])</f>
        <v/>
      </c>
      <c r="N44" s="138"/>
    </row>
    <row r="45" spans="2:14" s="6" customFormat="1" ht="65.150000000000006" customHeight="1">
      <c r="B45" s="126"/>
      <c r="C45" s="127" t="str">
        <f>IF(Table14[[#This Row],[Description]]="","",C44+1)</f>
        <v/>
      </c>
      <c r="D45" s="128"/>
      <c r="E45" s="129"/>
      <c r="F45" s="130"/>
      <c r="G45" s="130"/>
      <c r="H45" s="130" t="e">
        <f>IF(SUMIF([3]!Table15[VO '#],Table14[[#This Row],[ VO]],[3]!Table15[Total £])=0,"",SUMIF([3]!Table15[VO '#],Table14[[#This Row],[ VO]],[3]!Table15[Total £]))</f>
        <v>#REF!</v>
      </c>
      <c r="I45" s="131"/>
      <c r="J45" s="132"/>
      <c r="K45" s="133"/>
      <c r="L45" s="156"/>
      <c r="M45" s="131" t="str">
        <f>IF(Table14[[#This Row],[Progress %]]="","",Table14[[#This Row],[Progress %]]*Table14[[#This Row],[Value £]])</f>
        <v/>
      </c>
      <c r="N45" s="138"/>
    </row>
    <row r="46" spans="2:14" s="6" customFormat="1" ht="65.150000000000006" customHeight="1">
      <c r="B46" s="126"/>
      <c r="C46" s="127" t="str">
        <f>IF(Table14[[#This Row],[Description]]="","",C45+1)</f>
        <v/>
      </c>
      <c r="D46" s="128"/>
      <c r="E46" s="129"/>
      <c r="F46" s="130"/>
      <c r="G46" s="130"/>
      <c r="H46" s="130"/>
      <c r="I46" s="131"/>
      <c r="J46" s="132"/>
      <c r="K46" s="133"/>
      <c r="L46" s="156"/>
      <c r="M46" s="131" t="str">
        <f>IF(Table14[[#This Row],[Progress %]]="","",Table14[[#This Row],[Progress %]]*Table14[[#This Row],[Value £]])</f>
        <v/>
      </c>
      <c r="N46" s="138"/>
    </row>
    <row r="47" spans="2:14" s="6" customFormat="1" ht="65.150000000000006" customHeight="1">
      <c r="B47" s="126"/>
      <c r="C47" s="127" t="str">
        <f>IF(Table14[[#This Row],[Description]]="","",C46+1)</f>
        <v/>
      </c>
      <c r="D47" s="128"/>
      <c r="E47" s="129"/>
      <c r="F47" s="130"/>
      <c r="G47" s="130"/>
      <c r="H47" s="130"/>
      <c r="I47" s="131"/>
      <c r="J47" s="132"/>
      <c r="K47" s="133"/>
      <c r="L47" s="156"/>
      <c r="M47" s="131" t="str">
        <f>IF(Table14[[#This Row],[Progress %]]="","",Table14[[#This Row],[Progress %]]*Table14[[#This Row],[Value £]])</f>
        <v/>
      </c>
      <c r="N47" s="138"/>
    </row>
    <row r="48" spans="2:14" s="6" customFormat="1" ht="65.150000000000006" customHeight="1">
      <c r="B48" s="126"/>
      <c r="C48" s="127" t="str">
        <f>IF(Table14[[#This Row],[Description]]="","",C47+1)</f>
        <v/>
      </c>
      <c r="D48" s="128"/>
      <c r="E48" s="129"/>
      <c r="F48" s="130"/>
      <c r="G48" s="130"/>
      <c r="H48" s="130"/>
      <c r="I48" s="131"/>
      <c r="J48" s="132"/>
      <c r="K48" s="133"/>
      <c r="L48" s="156"/>
      <c r="M48" s="131" t="str">
        <f>IF(Table14[[#This Row],[Progress %]]="","",Table14[[#This Row],[Progress %]]*Table14[[#This Row],[Value £]])</f>
        <v/>
      </c>
      <c r="N48" s="138"/>
    </row>
    <row r="49" spans="2:14" s="6" customFormat="1" ht="65.150000000000006" customHeight="1">
      <c r="B49" s="126"/>
      <c r="C49" s="127" t="str">
        <f>IF(Table14[[#This Row],[Description]]="","",C48+1)</f>
        <v/>
      </c>
      <c r="D49" s="128"/>
      <c r="E49" s="129"/>
      <c r="F49" s="130"/>
      <c r="G49" s="130"/>
      <c r="H49" s="130"/>
      <c r="I49" s="131"/>
      <c r="J49" s="132"/>
      <c r="K49" s="133"/>
      <c r="L49" s="156"/>
      <c r="M49" s="131" t="str">
        <f>IF(Table14[[#This Row],[Progress %]]="","",Table14[[#This Row],[Progress %]]*Table14[[#This Row],[Value £]])</f>
        <v/>
      </c>
      <c r="N49" s="138"/>
    </row>
    <row r="50" spans="2:14" s="6" customFormat="1" ht="65.150000000000006" customHeight="1">
      <c r="B50" s="126"/>
      <c r="C50" s="127" t="str">
        <f>IF(Table14[[#This Row],[Description]]="","",C49+1)</f>
        <v/>
      </c>
      <c r="D50" s="128"/>
      <c r="E50" s="129"/>
      <c r="F50" s="130"/>
      <c r="G50" s="130"/>
      <c r="H50" s="130"/>
      <c r="I50" s="131"/>
      <c r="J50" s="132"/>
      <c r="K50" s="133"/>
      <c r="L50" s="156"/>
      <c r="M50" s="131" t="str">
        <f>IF(Table14[[#This Row],[Progress %]]="","",Table14[[#This Row],[Progress %]]*Table14[[#This Row],[Value £]])</f>
        <v/>
      </c>
      <c r="N50" s="138"/>
    </row>
    <row r="51" spans="2:14" s="6" customFormat="1" ht="65.150000000000006" customHeight="1">
      <c r="B51" s="126"/>
      <c r="C51" s="127" t="str">
        <f>IF(Table14[[#This Row],[Description]]="","",C50+1)</f>
        <v/>
      </c>
      <c r="D51" s="128"/>
      <c r="E51" s="129"/>
      <c r="F51" s="130"/>
      <c r="G51" s="130"/>
      <c r="H51" s="130"/>
      <c r="I51" s="131"/>
      <c r="J51" s="132"/>
      <c r="K51" s="133"/>
      <c r="L51" s="156"/>
      <c r="M51" s="131" t="str">
        <f>IF(Table14[[#This Row],[Progress %]]="","",Table14[[#This Row],[Progress %]]*Table14[[#This Row],[Value £]])</f>
        <v/>
      </c>
      <c r="N51" s="138"/>
    </row>
    <row r="52" spans="2:14" s="6" customFormat="1" ht="65.150000000000006" customHeight="1">
      <c r="B52" s="126"/>
      <c r="C52" s="127" t="str">
        <f>IF(Table14[[#This Row],[Description]]="","",C51+1)</f>
        <v/>
      </c>
      <c r="D52" s="128"/>
      <c r="E52" s="129"/>
      <c r="F52" s="130"/>
      <c r="G52" s="130"/>
      <c r="H52" s="130"/>
      <c r="I52" s="131"/>
      <c r="J52" s="132"/>
      <c r="K52" s="133"/>
      <c r="L52" s="156"/>
      <c r="M52" s="131" t="str">
        <f>IF(Table14[[#This Row],[Progress %]]="","",Table14[[#This Row],[Progress %]]*Table14[[#This Row],[Value £]])</f>
        <v/>
      </c>
      <c r="N52" s="138"/>
    </row>
    <row r="53" spans="2:14" s="6" customFormat="1" ht="65.150000000000006" customHeight="1">
      <c r="B53" s="126"/>
      <c r="C53" s="127" t="str">
        <f>IF(Table14[[#This Row],[Description]]="","",C52+1)</f>
        <v/>
      </c>
      <c r="D53" s="128"/>
      <c r="E53" s="129"/>
      <c r="F53" s="130"/>
      <c r="G53" s="130"/>
      <c r="H53" s="130"/>
      <c r="I53" s="131"/>
      <c r="J53" s="132"/>
      <c r="K53" s="133"/>
      <c r="L53" s="156"/>
      <c r="M53" s="131" t="str">
        <f>IF(Table14[[#This Row],[Progress %]]="","",Table14[[#This Row],[Progress %]]*Table14[[#This Row],[Value £]])</f>
        <v/>
      </c>
      <c r="N53" s="138"/>
    </row>
    <row r="54" spans="2:14" s="6" customFormat="1" ht="65.150000000000006" customHeight="1">
      <c r="B54" s="126"/>
      <c r="C54" s="127" t="str">
        <f>IF(Table14[[#This Row],[Description]]="","",C53+1)</f>
        <v/>
      </c>
      <c r="D54" s="128"/>
      <c r="E54" s="129"/>
      <c r="F54" s="130"/>
      <c r="G54" s="130"/>
      <c r="H54" s="130" t="s">
        <v>20</v>
      </c>
      <c r="I54" s="131"/>
      <c r="J54" s="132"/>
      <c r="K54" s="133"/>
      <c r="L54" s="156"/>
      <c r="M54" s="131" t="str">
        <f>IF(Table14[[#This Row],[Progress %]]="","",Table14[[#This Row],[Progress %]]*Table14[[#This Row],[Value £]])</f>
        <v/>
      </c>
      <c r="N54" s="138"/>
    </row>
    <row r="55" spans="2:14" s="6" customFormat="1" ht="65.150000000000006" customHeight="1">
      <c r="B55" s="126"/>
      <c r="C55" s="127" t="str">
        <f>IF(Table14[[#This Row],[Description]]="","",C54+1)</f>
        <v/>
      </c>
      <c r="D55" s="128"/>
      <c r="E55" s="129"/>
      <c r="F55" s="130"/>
      <c r="G55" s="130"/>
      <c r="H55" s="130"/>
      <c r="I55" s="131"/>
      <c r="J55" s="132"/>
      <c r="K55" s="133"/>
      <c r="L55" s="156"/>
      <c r="M55" s="131" t="str">
        <f>IF(Table14[[#This Row],[Progress %]]="","",Table14[[#This Row],[Progress %]]*Table14[[#This Row],[Value £]])</f>
        <v/>
      </c>
      <c r="N55" s="138"/>
    </row>
    <row r="56" spans="2:14" s="6" customFormat="1" ht="65.150000000000006" customHeight="1">
      <c r="B56" s="126"/>
      <c r="C56" s="127" t="str">
        <f>IF(Table14[[#This Row],[Description]]="","",C55+1)</f>
        <v/>
      </c>
      <c r="D56" s="128"/>
      <c r="E56" s="129"/>
      <c r="F56" s="130"/>
      <c r="G56" s="130"/>
      <c r="H56" s="130"/>
      <c r="I56" s="131"/>
      <c r="J56" s="132"/>
      <c r="K56" s="133"/>
      <c r="L56" s="156"/>
      <c r="M56" s="131" t="str">
        <f>IF(Table14[[#This Row],[Progress %]]="","",Table14[[#This Row],[Progress %]]*Table14[[#This Row],[Value £]])</f>
        <v/>
      </c>
      <c r="N56" s="138"/>
    </row>
    <row r="57" spans="2:14" s="6" customFormat="1" ht="65.150000000000006" customHeight="1">
      <c r="B57" s="126"/>
      <c r="C57" s="127" t="str">
        <f>IF(Table14[[#This Row],[Description]]="","",C56+1)</f>
        <v/>
      </c>
      <c r="D57" s="128"/>
      <c r="E57" s="129"/>
      <c r="F57" s="130"/>
      <c r="G57" s="130"/>
      <c r="H57" s="130"/>
      <c r="I57" s="131"/>
      <c r="J57" s="132"/>
      <c r="K57" s="133"/>
      <c r="L57" s="156"/>
      <c r="M57" s="131" t="str">
        <f>IF(Table14[[#This Row],[Progress %]]="","",Table14[[#This Row],[Progress %]]*Table14[[#This Row],[Value £]])</f>
        <v/>
      </c>
      <c r="N57" s="138"/>
    </row>
    <row r="58" spans="2:14" s="6" customFormat="1" ht="65.150000000000006" customHeight="1">
      <c r="B58" s="126"/>
      <c r="C58" s="127" t="str">
        <f>IF(Table14[[#This Row],[Description]]="","",C57+1)</f>
        <v/>
      </c>
      <c r="D58" s="128"/>
      <c r="E58" s="129"/>
      <c r="F58" s="130"/>
      <c r="G58" s="130"/>
      <c r="H58" s="130"/>
      <c r="I58" s="131"/>
      <c r="J58" s="132"/>
      <c r="K58" s="133"/>
      <c r="L58" s="156"/>
      <c r="M58" s="131" t="str">
        <f>IF(Table14[[#This Row],[Progress %]]="","",Table14[[#This Row],[Progress %]]*Table14[[#This Row],[Value £]])</f>
        <v/>
      </c>
      <c r="N58" s="138"/>
    </row>
    <row r="59" spans="2:14" s="6" customFormat="1" ht="65.150000000000006" customHeight="1">
      <c r="B59" s="126"/>
      <c r="C59" s="127" t="str">
        <f>IF(Table14[[#This Row],[Description]]="","",C58+1)</f>
        <v/>
      </c>
      <c r="D59" s="128"/>
      <c r="E59" s="129"/>
      <c r="F59" s="130"/>
      <c r="G59" s="130"/>
      <c r="H59" s="130"/>
      <c r="I59" s="131"/>
      <c r="J59" s="132"/>
      <c r="K59" s="133"/>
      <c r="L59" s="156"/>
      <c r="M59" s="131" t="str">
        <f>IF(Table14[[#This Row],[Progress %]]="","",Table14[[#This Row],[Progress %]]*Table14[[#This Row],[Value £]])</f>
        <v/>
      </c>
      <c r="N59" s="138"/>
    </row>
    <row r="60" spans="2:14" s="5" customFormat="1" ht="65.150000000000006" customHeight="1">
      <c r="B60" s="126"/>
      <c r="C60" s="127" t="str">
        <f>IF(Table14[[#This Row],[Description]]="","",C59+1)</f>
        <v/>
      </c>
      <c r="D60" s="128"/>
      <c r="E60" s="129"/>
      <c r="F60" s="130"/>
      <c r="G60" s="130"/>
      <c r="H60" s="130"/>
      <c r="I60" s="131"/>
      <c r="J60" s="132"/>
      <c r="K60" s="133"/>
      <c r="L60" s="156"/>
      <c r="M60" s="131" t="str">
        <f>IF(Table14[[#This Row],[Progress %]]="","",Table14[[#This Row],[Progress %]]*Table14[[#This Row],[Value £]])</f>
        <v/>
      </c>
      <c r="N60" s="138"/>
    </row>
    <row r="61" spans="2:14" s="5" customFormat="1" ht="65.150000000000006" customHeight="1">
      <c r="B61" s="126"/>
      <c r="C61" s="127" t="str">
        <f>IF(Table14[[#This Row],[Description]]="","",C60+1)</f>
        <v/>
      </c>
      <c r="D61" s="128"/>
      <c r="E61" s="129"/>
      <c r="F61" s="130"/>
      <c r="G61" s="130"/>
      <c r="H61" s="130"/>
      <c r="I61" s="131"/>
      <c r="J61" s="132"/>
      <c r="K61" s="133"/>
      <c r="L61" s="156"/>
      <c r="M61" s="131" t="str">
        <f>IF(Table14[[#This Row],[Progress %]]="","",Table14[[#This Row],[Progress %]]*Table14[[#This Row],[Value £]])</f>
        <v/>
      </c>
      <c r="N61" s="138"/>
    </row>
    <row r="62" spans="2:14" s="5" customFormat="1" ht="65.150000000000006" customHeight="1">
      <c r="B62" s="126"/>
      <c r="C62" s="127" t="str">
        <f>IF(Table14[[#This Row],[Description]]="","",C61+1)</f>
        <v/>
      </c>
      <c r="D62" s="128"/>
      <c r="E62" s="129"/>
      <c r="F62" s="130"/>
      <c r="G62" s="130"/>
      <c r="H62" s="130"/>
      <c r="I62" s="131"/>
      <c r="J62" s="132"/>
      <c r="K62" s="133"/>
      <c r="L62" s="156"/>
      <c r="M62" s="131" t="str">
        <f>IF(Table14[[#This Row],[Progress %]]="","",Table14[[#This Row],[Progress %]]*Table14[[#This Row],[Value £]])</f>
        <v/>
      </c>
      <c r="N62" s="138"/>
    </row>
    <row r="63" spans="2:14" s="5" customFormat="1" ht="65.150000000000006" customHeight="1">
      <c r="B63" s="126"/>
      <c r="C63" s="127" t="str">
        <f>IF(Table14[[#This Row],[Description]]="","",C62+1)</f>
        <v/>
      </c>
      <c r="D63" s="128"/>
      <c r="E63" s="129"/>
      <c r="F63" s="130"/>
      <c r="G63" s="130"/>
      <c r="H63" s="130"/>
      <c r="I63" s="131"/>
      <c r="J63" s="132"/>
      <c r="K63" s="133"/>
      <c r="L63" s="156"/>
      <c r="M63" s="131" t="str">
        <f>IF(Table14[[#This Row],[Progress %]]="","",Table14[[#This Row],[Progress %]]*Table14[[#This Row],[Value £]])</f>
        <v/>
      </c>
      <c r="N63" s="138"/>
    </row>
    <row r="64" spans="2:14" s="5" customFormat="1" ht="65.150000000000006" customHeight="1">
      <c r="B64" s="126"/>
      <c r="C64" s="127" t="str">
        <f>IF(Table14[[#This Row],[Description]]="","",C63+1)</f>
        <v/>
      </c>
      <c r="D64" s="128"/>
      <c r="E64" s="129"/>
      <c r="F64" s="130"/>
      <c r="G64" s="130"/>
      <c r="H64" s="130"/>
      <c r="I64" s="131"/>
      <c r="J64" s="132"/>
      <c r="K64" s="139"/>
      <c r="L64" s="158"/>
      <c r="M64" s="163" t="str">
        <f>IF(Table14[[#This Row],[Progress %]]="","",Table14[[#This Row],[Progress %]]*Table14[[#This Row],[Value £]])</f>
        <v/>
      </c>
      <c r="N64" s="138"/>
    </row>
    <row r="65" spans="2:14" s="5" customFormat="1" ht="65.150000000000006" customHeight="1">
      <c r="B65" s="126"/>
      <c r="C65" s="127" t="str">
        <f>IF(Table14[[#This Row],[Description]]="","",C64+1)</f>
        <v/>
      </c>
      <c r="D65" s="128"/>
      <c r="E65" s="129"/>
      <c r="F65" s="130"/>
      <c r="G65" s="130"/>
      <c r="H65" s="130"/>
      <c r="I65" s="131"/>
      <c r="J65" s="132"/>
      <c r="K65" s="133"/>
      <c r="L65" s="156"/>
      <c r="M65" s="131" t="str">
        <f>IF(Table14[[#This Row],[Progress %]]="","",Table14[[#This Row],[Progress %]]*Table14[[#This Row],[Value £]])</f>
        <v/>
      </c>
      <c r="N65" s="138"/>
    </row>
    <row r="66" spans="2:14" s="5" customFormat="1" ht="65.150000000000006" customHeight="1">
      <c r="B66" s="126"/>
      <c r="C66" s="127" t="str">
        <f>IF(Table14[[#This Row],[Description]]="","",C65+1)</f>
        <v/>
      </c>
      <c r="D66" s="128"/>
      <c r="E66" s="129"/>
      <c r="F66" s="130"/>
      <c r="G66" s="130"/>
      <c r="H66" s="130"/>
      <c r="I66" s="131"/>
      <c r="J66" s="132"/>
      <c r="K66" s="133"/>
      <c r="L66" s="156"/>
      <c r="M66" s="131" t="str">
        <f>IF(Table14[[#This Row],[Progress %]]="","",Table14[[#This Row],[Progress %]]*Table14[[#This Row],[Value £]])</f>
        <v/>
      </c>
      <c r="N66" s="138"/>
    </row>
    <row r="67" spans="2:14" s="5" customFormat="1" ht="65.150000000000006" customHeight="1">
      <c r="B67" s="126"/>
      <c r="C67" s="127" t="str">
        <f>IF(Table14[[#This Row],[Description]]="","",C66+1)</f>
        <v/>
      </c>
      <c r="D67" s="128"/>
      <c r="E67" s="129"/>
      <c r="F67" s="130"/>
      <c r="G67" s="130"/>
      <c r="H67" s="130"/>
      <c r="I67" s="131"/>
      <c r="J67" s="132"/>
      <c r="K67" s="133"/>
      <c r="L67" s="156"/>
      <c r="M67" s="131" t="str">
        <f>IF(Table14[[#This Row],[Progress %]]="","",Table14[[#This Row],[Progress %]]*Table14[[#This Row],[Value £]])</f>
        <v/>
      </c>
      <c r="N67" s="138"/>
    </row>
    <row r="68" spans="2:14" s="5" customFormat="1" ht="65.150000000000006" customHeight="1">
      <c r="B68" s="126"/>
      <c r="C68" s="127" t="str">
        <f>IF(Table14[[#This Row],[Description]]="","",C67+1)</f>
        <v/>
      </c>
      <c r="D68" s="128"/>
      <c r="E68" s="129"/>
      <c r="F68" s="130"/>
      <c r="G68" s="130"/>
      <c r="H68" s="130"/>
      <c r="I68" s="131"/>
      <c r="J68" s="132"/>
      <c r="K68" s="133"/>
      <c r="L68" s="156"/>
      <c r="M68" s="131" t="str">
        <f>IF(Table14[[#This Row],[Progress %]]="","",Table14[[#This Row],[Progress %]]*Table14[[#This Row],[Value £]])</f>
        <v/>
      </c>
      <c r="N68" s="138"/>
    </row>
    <row r="69" spans="2:14" s="5" customFormat="1" ht="65.150000000000006" customHeight="1">
      <c r="B69" s="126"/>
      <c r="C69" s="127" t="str">
        <f>IF(Table14[[#This Row],[Description]]="","",C68+1)</f>
        <v/>
      </c>
      <c r="D69" s="128"/>
      <c r="E69" s="129"/>
      <c r="F69" s="130"/>
      <c r="G69" s="130"/>
      <c r="H69" s="130"/>
      <c r="I69" s="131"/>
      <c r="J69" s="132"/>
      <c r="K69" s="140"/>
      <c r="L69" s="159"/>
      <c r="M69" s="164" t="str">
        <f>IF(Table14[[#This Row],[Progress %]]="","",Table14[[#This Row],[Progress %]]*Table14[[#This Row],[Value £]])</f>
        <v/>
      </c>
      <c r="N69" s="138"/>
    </row>
    <row r="70" spans="2:14" s="5" customFormat="1" ht="65.150000000000006" customHeight="1">
      <c r="B70" s="126"/>
      <c r="C70" s="127" t="str">
        <f>IF(Table14[[#This Row],[Description]]="","",C69+1)</f>
        <v/>
      </c>
      <c r="D70" s="128"/>
      <c r="E70" s="129"/>
      <c r="F70" s="130"/>
      <c r="G70" s="130"/>
      <c r="H70" s="130"/>
      <c r="I70" s="131"/>
      <c r="J70" s="132"/>
      <c r="K70" s="133"/>
      <c r="L70" s="156"/>
      <c r="M70" s="131" t="str">
        <f>IF(Table14[[#This Row],[Progress %]]="","",Table14[[#This Row],[Progress %]]*Table14[[#This Row],[Value £]])</f>
        <v/>
      </c>
      <c r="N70" s="138"/>
    </row>
    <row r="71" spans="2:14" s="5" customFormat="1" ht="65.150000000000006" customHeight="1">
      <c r="B71" s="126"/>
      <c r="C71" s="127" t="str">
        <f>IF(Table14[[#This Row],[Description]]="","",C70+1)</f>
        <v/>
      </c>
      <c r="D71" s="128"/>
      <c r="E71" s="129"/>
      <c r="F71" s="130"/>
      <c r="G71" s="130"/>
      <c r="H71" s="130"/>
      <c r="I71" s="131"/>
      <c r="J71" s="132"/>
      <c r="K71" s="133"/>
      <c r="L71" s="156"/>
      <c r="M71" s="131" t="str">
        <f>IF(Table14[[#This Row],[Progress %]]="","",Table14[[#This Row],[Progress %]]*Table14[[#This Row],[Value £]])</f>
        <v/>
      </c>
      <c r="N71" s="138"/>
    </row>
    <row r="72" spans="2:14" s="5" customFormat="1" ht="65.150000000000006" customHeight="1">
      <c r="B72" s="126"/>
      <c r="C72" s="127" t="str">
        <f>IF(Table14[[#This Row],[Description]]="","",C71+1)</f>
        <v/>
      </c>
      <c r="D72" s="128"/>
      <c r="E72" s="129"/>
      <c r="F72" s="130"/>
      <c r="G72" s="130"/>
      <c r="H72" s="130"/>
      <c r="I72" s="131"/>
      <c r="J72" s="132"/>
      <c r="K72" s="133"/>
      <c r="L72" s="156"/>
      <c r="M72" s="131" t="str">
        <f>IF(Table14[[#This Row],[Progress %]]="","",Table14[[#This Row],[Progress %]]*Table14[[#This Row],[Value £]])</f>
        <v/>
      </c>
      <c r="N72" s="138"/>
    </row>
    <row r="73" spans="2:14" s="5" customFormat="1" ht="65.150000000000006" customHeight="1">
      <c r="B73" s="126"/>
      <c r="C73" s="127" t="str">
        <f>IF(Table14[[#This Row],[Description]]="","",C72+1)</f>
        <v/>
      </c>
      <c r="D73" s="128"/>
      <c r="E73" s="141"/>
      <c r="F73" s="130"/>
      <c r="G73" s="130"/>
      <c r="H73" s="130"/>
      <c r="I73" s="131"/>
      <c r="J73" s="132"/>
      <c r="K73" s="140"/>
      <c r="L73" s="159"/>
      <c r="M73" s="164" t="str">
        <f>IF(Table14[[#This Row],[Progress %]]="","",Table14[[#This Row],[Progress %]]*Table14[[#This Row],[Value £]])</f>
        <v/>
      </c>
      <c r="N73" s="138"/>
    </row>
    <row r="74" spans="2:14" s="5" customFormat="1" ht="65.150000000000006" customHeight="1">
      <c r="B74" s="126"/>
      <c r="C74" s="127" t="str">
        <f>IF(Table14[[#This Row],[Description]]="","",C73+1)</f>
        <v/>
      </c>
      <c r="D74" s="128"/>
      <c r="E74" s="129"/>
      <c r="F74" s="130"/>
      <c r="G74" s="130"/>
      <c r="H74" s="130"/>
      <c r="I74" s="131"/>
      <c r="J74" s="132"/>
      <c r="K74" s="133"/>
      <c r="L74" s="156"/>
      <c r="M74" s="131" t="str">
        <f>IF(Table14[[#This Row],[Progress %]]="","",Table14[[#This Row],[Progress %]]*Table14[[#This Row],[Value £]])</f>
        <v/>
      </c>
      <c r="N74" s="138"/>
    </row>
    <row r="75" spans="2:14" s="5" customFormat="1" ht="65.150000000000006" customHeight="1">
      <c r="B75" s="126"/>
      <c r="C75" s="127" t="str">
        <f>IF(Table14[[#This Row],[Description]]="","",C74+1)</f>
        <v/>
      </c>
      <c r="D75" s="128"/>
      <c r="E75" s="129"/>
      <c r="F75" s="130"/>
      <c r="G75" s="130"/>
      <c r="H75" s="130"/>
      <c r="I75" s="131"/>
      <c r="J75" s="132"/>
      <c r="K75" s="133"/>
      <c r="L75" s="156"/>
      <c r="M75" s="131" t="str">
        <f>IF(Table14[[#This Row],[Progress %]]="","",Table14[[#This Row],[Progress %]]*Table14[[#This Row],[Value £]])</f>
        <v/>
      </c>
      <c r="N75" s="138"/>
    </row>
    <row r="76" spans="2:14" s="5" customFormat="1" ht="65.150000000000006" customHeight="1">
      <c r="B76" s="126"/>
      <c r="C76" s="127" t="str">
        <f>IF(Table14[[#This Row],[Description]]="","",C75+1)</f>
        <v/>
      </c>
      <c r="D76" s="128"/>
      <c r="E76" s="129"/>
      <c r="F76" s="130"/>
      <c r="G76" s="130"/>
      <c r="H76" s="130"/>
      <c r="I76" s="131"/>
      <c r="J76" s="132"/>
      <c r="K76" s="133"/>
      <c r="L76" s="156"/>
      <c r="M76" s="131" t="str">
        <f>IF(Table14[[#This Row],[Progress %]]="","",Table14[[#This Row],[Progress %]]*Table14[[#This Row],[Value £]])</f>
        <v/>
      </c>
      <c r="N76" s="138"/>
    </row>
    <row r="77" spans="2:14" s="5" customFormat="1" ht="65.150000000000006" customHeight="1">
      <c r="B77" s="126"/>
      <c r="C77" s="127" t="str">
        <f>IF(Table14[[#This Row],[Description]]="","",C76+1)</f>
        <v/>
      </c>
      <c r="D77" s="128"/>
      <c r="E77" s="129"/>
      <c r="F77" s="130"/>
      <c r="G77" s="130"/>
      <c r="H77" s="130"/>
      <c r="I77" s="131"/>
      <c r="J77" s="132"/>
      <c r="K77" s="133"/>
      <c r="L77" s="156"/>
      <c r="M77" s="131" t="str">
        <f>IF(Table14[[#This Row],[Progress %]]="","",Table14[[#This Row],[Progress %]]*Table14[[#This Row],[Value £]])</f>
        <v/>
      </c>
      <c r="N77" s="138"/>
    </row>
    <row r="78" spans="2:14" s="5" customFormat="1" ht="65.150000000000006" customHeight="1">
      <c r="B78" s="126"/>
      <c r="C78" s="127" t="str">
        <f>IF(Table14[[#This Row],[Description]]="","",C77+1)</f>
        <v/>
      </c>
      <c r="D78" s="128"/>
      <c r="E78" s="129"/>
      <c r="F78" s="130"/>
      <c r="G78" s="130"/>
      <c r="H78" s="130"/>
      <c r="I78" s="131"/>
      <c r="J78" s="132"/>
      <c r="K78" s="133"/>
      <c r="L78" s="156"/>
      <c r="M78" s="131" t="str">
        <f>IF(Table14[[#This Row],[Progress %]]="","",Table14[[#This Row],[Progress %]]*Table14[[#This Row],[Value £]])</f>
        <v/>
      </c>
      <c r="N78" s="138"/>
    </row>
    <row r="79" spans="2:14" s="5" customFormat="1" ht="65.150000000000006" customHeight="1">
      <c r="B79" s="126"/>
      <c r="C79" s="127" t="str">
        <f>IF(Table14[[#This Row],[Description]]="","",C78+1)</f>
        <v/>
      </c>
      <c r="D79" s="128"/>
      <c r="E79" s="129"/>
      <c r="F79" s="130"/>
      <c r="G79" s="130"/>
      <c r="H79" s="130"/>
      <c r="I79" s="131"/>
      <c r="J79" s="132"/>
      <c r="K79" s="133"/>
      <c r="L79" s="156"/>
      <c r="M79" s="131" t="str">
        <f>IF(Table14[[#This Row],[Progress %]]="","",Table14[[#This Row],[Progress %]]*Table14[[#This Row],[Value £]])</f>
        <v/>
      </c>
      <c r="N79" s="138"/>
    </row>
    <row r="80" spans="2:14" s="5" customFormat="1" ht="65.150000000000006" customHeight="1">
      <c r="B80" s="126"/>
      <c r="C80" s="127" t="str">
        <f>IF(Table14[[#This Row],[Description]]="","",C79+1)</f>
        <v/>
      </c>
      <c r="D80" s="128"/>
      <c r="E80" s="129"/>
      <c r="F80" s="130"/>
      <c r="G80" s="130"/>
      <c r="H80" s="130"/>
      <c r="I80" s="131"/>
      <c r="J80" s="132"/>
      <c r="K80" s="133"/>
      <c r="L80" s="156"/>
      <c r="M80" s="131" t="str">
        <f>IF(Table14[[#This Row],[Progress %]]="","",Table14[[#This Row],[Progress %]]*Table14[[#This Row],[Value £]])</f>
        <v/>
      </c>
      <c r="N80" s="138"/>
    </row>
    <row r="81" spans="2:14" s="5" customFormat="1" ht="65.150000000000006" customHeight="1">
      <c r="B81" s="126"/>
      <c r="C81" s="127" t="str">
        <f>IF(Table14[[#This Row],[Description]]="","",C80+1)</f>
        <v/>
      </c>
      <c r="D81" s="128"/>
      <c r="E81" s="129"/>
      <c r="F81" s="130"/>
      <c r="G81" s="130"/>
      <c r="H81" s="130"/>
      <c r="I81" s="131"/>
      <c r="J81" s="132"/>
      <c r="K81" s="133"/>
      <c r="L81" s="156"/>
      <c r="M81" s="131" t="str">
        <f>IF(Table14[[#This Row],[Progress %]]="","",Table14[[#This Row],[Progress %]]*Table14[[#This Row],[Value £]])</f>
        <v/>
      </c>
      <c r="N81" s="138"/>
    </row>
    <row r="82" spans="2:14" s="5" customFormat="1" ht="65.150000000000006" customHeight="1">
      <c r="B82" s="126"/>
      <c r="C82" s="127" t="str">
        <f>IF(Table14[[#This Row],[Description]]="","",C81+1)</f>
        <v/>
      </c>
      <c r="D82" s="128"/>
      <c r="E82" s="129"/>
      <c r="F82" s="130"/>
      <c r="G82" s="130"/>
      <c r="H82" s="130"/>
      <c r="I82" s="131"/>
      <c r="J82" s="132"/>
      <c r="K82" s="133"/>
      <c r="L82" s="156"/>
      <c r="M82" s="131" t="str">
        <f>IF(Table14[[#This Row],[Progress %]]="","",Table14[[#This Row],[Progress %]]*Table14[[#This Row],[Value £]])</f>
        <v/>
      </c>
      <c r="N82" s="138"/>
    </row>
    <row r="83" spans="2:14" s="5" customFormat="1" ht="65.150000000000006" customHeight="1">
      <c r="B83" s="126"/>
      <c r="C83" s="127" t="str">
        <f>IF(Table14[[#This Row],[Description]]="","",C82+1)</f>
        <v/>
      </c>
      <c r="D83" s="128"/>
      <c r="E83" s="129"/>
      <c r="F83" s="130"/>
      <c r="G83" s="130"/>
      <c r="H83" s="130"/>
      <c r="I83" s="131"/>
      <c r="J83" s="132"/>
      <c r="K83" s="133"/>
      <c r="L83" s="156"/>
      <c r="M83" s="131" t="str">
        <f>IF(Table14[[#This Row],[Progress %]]="","",Table14[[#This Row],[Progress %]]*Table14[[#This Row],[Value £]])</f>
        <v/>
      </c>
      <c r="N83" s="138"/>
    </row>
    <row r="84" spans="2:14" s="5" customFormat="1" ht="65.150000000000006" customHeight="1">
      <c r="B84" s="126"/>
      <c r="C84" s="127" t="str">
        <f>IF(Table14[[#This Row],[Description]]="","",C83+1)</f>
        <v/>
      </c>
      <c r="D84" s="128"/>
      <c r="E84" s="129"/>
      <c r="F84" s="130"/>
      <c r="G84" s="130"/>
      <c r="H84" s="130"/>
      <c r="I84" s="131"/>
      <c r="J84" s="132"/>
      <c r="K84" s="133"/>
      <c r="L84" s="156"/>
      <c r="M84" s="131" t="str">
        <f>IF(Table14[[#This Row],[Progress %]]="","",Table14[[#This Row],[Progress %]]*Table14[[#This Row],[Value £]])</f>
        <v/>
      </c>
      <c r="N84" s="138"/>
    </row>
    <row r="85" spans="2:14" s="5" customFormat="1" ht="65.150000000000006" customHeight="1">
      <c r="B85" s="126"/>
      <c r="C85" s="127" t="str">
        <f>IF(Table14[[#This Row],[Description]]="","",C84+1)</f>
        <v/>
      </c>
      <c r="D85" s="128"/>
      <c r="E85" s="129"/>
      <c r="F85" s="130"/>
      <c r="G85" s="130"/>
      <c r="H85" s="130"/>
      <c r="I85" s="131"/>
      <c r="J85" s="132"/>
      <c r="K85" s="133"/>
      <c r="L85" s="156"/>
      <c r="M85" s="131" t="str">
        <f>IF(Table14[[#This Row],[Progress %]]="","",Table14[[#This Row],[Progress %]]*Table14[[#This Row],[Value £]])</f>
        <v/>
      </c>
      <c r="N85" s="138"/>
    </row>
    <row r="86" spans="2:14" s="5" customFormat="1" ht="65.150000000000006" customHeight="1">
      <c r="B86" s="126"/>
      <c r="C86" s="127" t="str">
        <f>IF(Table14[[#This Row],[Description]]="","",C85+1)</f>
        <v/>
      </c>
      <c r="D86" s="128"/>
      <c r="E86" s="129"/>
      <c r="F86" s="130"/>
      <c r="G86" s="130"/>
      <c r="H86" s="130"/>
      <c r="I86" s="131"/>
      <c r="J86" s="132"/>
      <c r="K86" s="133"/>
      <c r="L86" s="156"/>
      <c r="M86" s="131" t="str">
        <f>IF(Table14[[#This Row],[Progress %]]="","",Table14[[#This Row],[Progress %]]*Table14[[#This Row],[Value £]])</f>
        <v/>
      </c>
      <c r="N86" s="138"/>
    </row>
    <row r="87" spans="2:14" s="5" customFormat="1" ht="65.150000000000006" customHeight="1">
      <c r="B87" s="126"/>
      <c r="C87" s="127" t="str">
        <f>IF(Table14[[#This Row],[Description]]="","",C86+1)</f>
        <v/>
      </c>
      <c r="D87" s="128"/>
      <c r="E87" s="129"/>
      <c r="F87" s="130"/>
      <c r="G87" s="130"/>
      <c r="H87" s="130"/>
      <c r="I87" s="131"/>
      <c r="J87" s="132"/>
      <c r="K87" s="133"/>
      <c r="L87" s="156"/>
      <c r="M87" s="131" t="str">
        <f>IF(Table14[[#This Row],[Progress %]]="","",Table14[[#This Row],[Progress %]]*Table14[[#This Row],[Value £]])</f>
        <v/>
      </c>
      <c r="N87" s="138"/>
    </row>
    <row r="88" spans="2:14" s="5" customFormat="1" ht="65.150000000000006" customHeight="1">
      <c r="B88" s="126"/>
      <c r="C88" s="127" t="str">
        <f>IF(Table14[[#This Row],[Description]]="","",C87+1)</f>
        <v/>
      </c>
      <c r="D88" s="128"/>
      <c r="E88" s="129"/>
      <c r="F88" s="130"/>
      <c r="G88" s="130"/>
      <c r="H88" s="130"/>
      <c r="I88" s="131"/>
      <c r="J88" s="132"/>
      <c r="K88" s="133"/>
      <c r="L88" s="156"/>
      <c r="M88" s="131" t="str">
        <f>IF(Table14[[#This Row],[Progress %]]="","",Table14[[#This Row],[Progress %]]*Table14[[#This Row],[Value £]])</f>
        <v/>
      </c>
      <c r="N88" s="138"/>
    </row>
    <row r="89" spans="2:14" s="5" customFormat="1" ht="65.150000000000006" customHeight="1">
      <c r="B89" s="142"/>
      <c r="C89" s="143" t="str">
        <f>IF(Table14[[#This Row],[Description]]="","",C88+1)</f>
        <v/>
      </c>
      <c r="D89" s="144"/>
      <c r="E89" s="145"/>
      <c r="F89" s="146"/>
      <c r="G89" s="146"/>
      <c r="H89" s="146"/>
      <c r="I89" s="147"/>
      <c r="J89" s="148"/>
      <c r="K89" s="149"/>
      <c r="L89" s="160"/>
      <c r="M89" s="147" t="str">
        <f>IF(Table14[[#This Row],[Progress %]]="","",Table14[[#This Row],[Progress %]]*Table14[[#This Row],[Value £]])</f>
        <v/>
      </c>
      <c r="N89" s="138"/>
    </row>
  </sheetData>
  <mergeCells count="2">
    <mergeCell ref="I2:J2"/>
    <mergeCell ref="C10:D10"/>
  </mergeCells>
  <conditionalFormatting sqref="F48:G48 F49:H1048576 F13:H47">
    <cfRule type="cellIs" dxfId="32" priority="3" operator="equal">
      <formula>"tbc"</formula>
    </cfRule>
  </conditionalFormatting>
  <conditionalFormatting sqref="I14:I89">
    <cfRule type="cellIs" dxfId="31" priority="2" operator="equal">
      <formula>"Agreed"</formula>
    </cfRule>
  </conditionalFormatting>
  <conditionalFormatting sqref="F14:G19 F20:F21">
    <cfRule type="expression" priority="1">
      <formula>$H14="Agreed"</formula>
    </cfRule>
  </conditionalFormatting>
  <dataValidations count="2">
    <dataValidation type="list" allowBlank="1" showInputMessage="1" showErrorMessage="1" sqref="I14:I89" xr:uid="{F0279E43-AC6E-4185-B984-71361305EEFB}">
      <formula1>"Agreed, To be Agreed"</formula1>
    </dataValidation>
    <dataValidation type="list" allowBlank="1" showInputMessage="1" showErrorMessage="1" sqref="G14:G89" xr:uid="{7FB79A9D-67A8-4647-A053-0043FF4E2539}">
      <formula1>"Yes,No"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8" scale="22" fitToHeight="0" orientation="portrait" r:id="rId1"/>
  <headerFooter>
    <oddHeader>&amp;R&amp;G</oddHeader>
  </headerFooter>
  <drawing r:id="rId2"/>
  <legacyDrawingHF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AFP Summary</vt:lpstr>
      <vt:lpstr>BoQ_Summary</vt:lpstr>
      <vt:lpstr>BoQ_Detailed </vt:lpstr>
      <vt:lpstr>Variation Register</vt:lpstr>
      <vt:lpstr>'AFP Summary'!Print_Area</vt:lpstr>
      <vt:lpstr>'BoQ_Detailed '!Print_Area</vt:lpstr>
      <vt:lpstr>BoQ_Summary!Print_Area</vt:lpstr>
      <vt:lpstr>'Variation Register'!Print_Area</vt:lpstr>
      <vt:lpstr>'Variation Register'!Print_Titles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Andrew Thompson</dc:creator>
  <cp:keywords/>
  <dc:description/>
  <cp:lastModifiedBy>Andy Thompson</cp:lastModifiedBy>
  <cp:revision/>
  <cp:lastPrinted>2024-10-01T15:29:09Z</cp:lastPrinted>
  <dcterms:created xsi:type="dcterms:W3CDTF">2023-08-20T20:32:23Z</dcterms:created>
  <dcterms:modified xsi:type="dcterms:W3CDTF">2024-10-22T16:59:34Z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6a19a3c-d4d4-4e32-a670-fc3de26ce321_Enabled">
    <vt:lpwstr>true</vt:lpwstr>
  </property>
  <property fmtid="{D5CDD505-2E9C-101B-9397-08002B2CF9AE}" pid="3" name="MSIP_Label_b6a19a3c-d4d4-4e32-a670-fc3de26ce321_SetDate">
    <vt:lpwstr>2023-08-20T20:43:10Z</vt:lpwstr>
  </property>
  <property fmtid="{D5CDD505-2E9C-101B-9397-08002B2CF9AE}" pid="4" name="MSIP_Label_b6a19a3c-d4d4-4e32-a670-fc3de26ce321_Method">
    <vt:lpwstr>Standard</vt:lpwstr>
  </property>
  <property fmtid="{D5CDD505-2E9C-101B-9397-08002B2CF9AE}" pid="5" name="MSIP_Label_b6a19a3c-d4d4-4e32-a670-fc3de26ce321_Name">
    <vt:lpwstr>Internal</vt:lpwstr>
  </property>
  <property fmtid="{D5CDD505-2E9C-101B-9397-08002B2CF9AE}" pid="6" name="MSIP_Label_b6a19a3c-d4d4-4e32-a670-fc3de26ce321_SiteId">
    <vt:lpwstr>ef79b864-6cc8-4d57-9f7f-93c8ecca1fe7</vt:lpwstr>
  </property>
  <property fmtid="{D5CDD505-2E9C-101B-9397-08002B2CF9AE}" pid="7" name="MSIP_Label_b6a19a3c-d4d4-4e32-a670-fc3de26ce321_ActionId">
    <vt:lpwstr>009cfd87-41ca-46dd-9184-54ce0f0fd08e</vt:lpwstr>
  </property>
  <property fmtid="{D5CDD505-2E9C-101B-9397-08002B2CF9AE}" pid="8" name="MSIP_Label_b6a19a3c-d4d4-4e32-a670-fc3de26ce321_ContentBits">
    <vt:lpwstr>2</vt:lpwstr>
  </property>
</Properties>
</file>