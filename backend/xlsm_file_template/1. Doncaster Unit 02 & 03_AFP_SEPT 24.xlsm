
<file path=[Content_Types].xml><?xml version="1.0" encoding="utf-8"?>
<Types xmlns="http://schemas.openxmlformats.org/package/2006/content-types">
  <Default Extension="vml" ContentType="application/vnd.openxmlformats-officedocument.vmlDrawing"/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hidePivotFieldList="1"/>
  <bookViews>
    <workbookView windowWidth="28800" windowHeight="11730" activeTab="2"/>
  </bookViews>
  <sheets>
    <sheet name="AFP Summary" sheetId="13" r:id="rId1"/>
    <sheet name="BoQ_Summary" sheetId="15" r:id="rId2"/>
    <sheet name="BoQ_Detailed " sheetId="16" r:id="rId3"/>
    <sheet name="Variation Register" sheetId="18" r:id="rId4"/>
  </sheets>
  <externalReferences>
    <externalReference r:id="rId6"/>
    <externalReference r:id="rId7"/>
    <externalReference r:id="rId8"/>
  </externalReferences>
  <definedNames>
    <definedName name="Description">'[1]Daywork Rates'!$B:$B</definedName>
    <definedName name="LabourList1">'[2]Daywork Rates'!$B:$B</definedName>
    <definedName name="PlantList">'[1]Daywork Rates'!$G:$G</definedName>
    <definedName name="PlantList1">'[2]Daywork Rates'!$G:$G</definedName>
    <definedName name="_xlnm.Print_Area" localSheetId="0">'AFP Summary'!$A$1:$J$39</definedName>
    <definedName name="_xlnm.Print_Area" localSheetId="2">Table18[#All]</definedName>
    <definedName name="_xlnm.Print_Area" localSheetId="1">BoQ_Summary!$A$1:$K$10</definedName>
    <definedName name="_xlnm.Print_Area" localSheetId="3">'Variation Register'!$A$1:$O$90</definedName>
    <definedName name="_xlnm.Print_Titles" localSheetId="3">'Variation Register'!$1:$13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<sst xmlns="http://schemas.openxmlformats.org/spreadsheetml/2006/main" count="109" uniqueCount="85">
  <si>
    <t>Application For Payment</t>
  </si>
  <si>
    <t xml:space="preserve">Struct Steel Engineering Ltd. </t>
  </si>
  <si>
    <t xml:space="preserve">38 Farnamullan Road, Faughard, Enniskillen, United </t>
  </si>
  <si>
    <t>+44 28 6638 7001</t>
  </si>
  <si>
    <t>structsteeleng.co.uk</t>
  </si>
  <si>
    <t>Client</t>
  </si>
  <si>
    <t>Project:</t>
  </si>
  <si>
    <t>Doncaster Unit 02 &amp; 03</t>
  </si>
  <si>
    <t>Fit Out (UK) Ltd</t>
  </si>
  <si>
    <t>Application Number:</t>
  </si>
  <si>
    <t>27 Abbey Rd, London</t>
  </si>
  <si>
    <t>For Works Complete to:</t>
  </si>
  <si>
    <t xml:space="preserve"> NW10 7SJ, United Kingdom</t>
  </si>
  <si>
    <t>Application Date:</t>
  </si>
  <si>
    <t>Payment Date:</t>
  </si>
  <si>
    <t>Ref</t>
  </si>
  <si>
    <t>Category</t>
  </si>
  <si>
    <t>Zone</t>
  </si>
  <si>
    <t>Account Total</t>
  </si>
  <si>
    <t>% Progress</t>
  </si>
  <si>
    <t>Interim Payment</t>
  </si>
  <si>
    <t>Comment</t>
  </si>
  <si>
    <t>Progress Total</t>
  </si>
  <si>
    <t>Overall Progress</t>
  </si>
  <si>
    <t xml:space="preserve"> </t>
  </si>
  <si>
    <t>Retention</t>
  </si>
  <si>
    <t>Nett Certified To Date</t>
  </si>
  <si>
    <t>Nett Payment Due</t>
  </si>
  <si>
    <t>BOQ Summary</t>
  </si>
  <si>
    <t>Item</t>
  </si>
  <si>
    <t>QTY</t>
  </si>
  <si>
    <t>UNIT</t>
  </si>
  <si>
    <t>RATE</t>
  </si>
  <si>
    <t>TOTAL</t>
  </si>
  <si>
    <t>Progress %</t>
  </si>
  <si>
    <t>Progress £</t>
  </si>
  <si>
    <t>Notes</t>
  </si>
  <si>
    <t xml:space="preserve">Ref </t>
  </si>
  <si>
    <t>Cat</t>
  </si>
  <si>
    <t>Type</t>
  </si>
  <si>
    <t>ACW</t>
  </si>
  <si>
    <t>Pcs</t>
  </si>
  <si>
    <t>Unit</t>
  </si>
  <si>
    <t xml:space="preserve">Rate </t>
  </si>
  <si>
    <t xml:space="preserve">Total </t>
  </si>
  <si>
    <t>stanchions; member profile not exceeding 25kg/m</t>
  </si>
  <si>
    <t>Steelwork Supply &amp; Install</t>
  </si>
  <si>
    <t>Row Labels</t>
  </si>
  <si>
    <t>Sum of QTY</t>
  </si>
  <si>
    <t>beams; member profile 25 - 50kg/m</t>
  </si>
  <si>
    <t>Unit 2</t>
  </si>
  <si>
    <t>beams; member profile 50 - 100kg/m</t>
  </si>
  <si>
    <t>Cold Rolled</t>
  </si>
  <si>
    <t>stanchions; member profile 25 - 50kg/m</t>
  </si>
  <si>
    <t>Steel</t>
  </si>
  <si>
    <t>Unit 3</t>
  </si>
  <si>
    <t>Grand Total</t>
  </si>
  <si>
    <t>Cold Rolled Supply &amp; Install</t>
  </si>
  <si>
    <t/>
  </si>
  <si>
    <t>Total:</t>
  </si>
  <si>
    <t>Variation Account Total</t>
  </si>
  <si>
    <t xml:space="preserve">Agreed Value </t>
  </si>
  <si>
    <t>Variation Register</t>
  </si>
  <si>
    <t>To be Agreed</t>
  </si>
  <si>
    <t xml:space="preserve">Progress Total </t>
  </si>
  <si>
    <t>Agreed %</t>
  </si>
  <si>
    <t>No. of Variations</t>
  </si>
  <si>
    <t>No. of Variations Agreed</t>
  </si>
  <si>
    <t>Variations to be Priced</t>
  </si>
  <si>
    <t>Client Ref</t>
  </si>
  <si>
    <t xml:space="preserve"> VO</t>
  </si>
  <si>
    <t>Description</t>
  </si>
  <si>
    <t xml:space="preserve">Submission </t>
  </si>
  <si>
    <t>Value £</t>
  </si>
  <si>
    <t xml:space="preserve">Dayworks  </t>
  </si>
  <si>
    <t>Daywork Total</t>
  </si>
  <si>
    <t>Status</t>
  </si>
  <si>
    <t>Date Agreed</t>
  </si>
  <si>
    <t>Progress Notes</t>
  </si>
  <si>
    <t xml:space="preserve">Intumescent Paint Off Site Application </t>
  </si>
  <si>
    <t>Agreed</t>
  </si>
  <si>
    <t>In line with S/C % Complete</t>
  </si>
  <si>
    <t xml:space="preserve">Adds &amp; Omits ; Tender Vs Construction </t>
  </si>
  <si>
    <t>TBC</t>
  </si>
  <si>
    <t xml:space="preserve">NEW STEELWOIRK 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</si>
</sst>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20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&quot;SI&quot;\ 0"/>
    <numFmt numFmtId="181" formatCode="[$-F800]dddd\,\ mmmm\ dd\,\ yyyy"/>
    <numFmt numFmtId="182" formatCode="&quot;£&quot;#,##0.00"/>
    <numFmt numFmtId="183" formatCode="00000\-0000"/>
    <numFmt numFmtId="184" formatCode="&quot;SI 0&quot;0"/>
    <numFmt numFmtId="185" formatCode="0\ &quot;no.&quot;"/>
    <numFmt numFmtId="186" formatCode="0\ &quot;KG&quot;"/>
    <numFmt numFmtId="187" formatCode="0.000"/>
    <numFmt numFmtId="188" formatCode="_-&quot;£&quot;* #,##0.00_-;\-&quot;£&quot;* #,##0.00_-;_-&quot;£&quot;* &quot;-&quot;??_-;_-@_-"/>
    <numFmt numFmtId="189" formatCode="0\ &quot;kg&quot;"/>
    <numFmt numFmtId="190" formatCode="_-&quot;£&quot;* #,##0_-;\-&quot;£&quot;* #,##0_-;_-&quot;£&quot;* &quot;-&quot;??_-;_-@_-"/>
    <numFmt numFmtId="191" formatCode="0.000\ &quot;tn&quot;"/>
    <numFmt numFmtId="192" formatCode="&quot;00&quot;0"/>
    <numFmt numFmtId="193" formatCode="[$€-2]\ #,##0.00"/>
    <numFmt numFmtId="194" formatCode="&quot;£&quot;#,##0"/>
    <numFmt numFmtId="195" formatCode="0.0%"/>
  </numFmts>
  <fonts count="78">
    <font>
      <sz val="11"/>
      <color theme="1"/>
      <name val="Calibri"/>
      <charset val="134"/>
      <scheme val="minor"/>
    </font>
    <font>
      <sz val="16"/>
      <color theme="1"/>
      <name val="Arial"/>
      <charset val="134"/>
    </font>
    <font>
      <sz val="22"/>
      <color theme="1"/>
      <name val="Arial Nova"/>
      <charset val="134"/>
    </font>
    <font>
      <sz val="18"/>
      <color theme="1"/>
      <name val="Arial"/>
      <charset val="134"/>
    </font>
    <font>
      <sz val="9"/>
      <color theme="1"/>
      <name val="Arial"/>
      <charset val="134"/>
    </font>
    <font>
      <b/>
      <sz val="48"/>
      <color rgb="FF394AA9"/>
      <name val="Arial"/>
      <charset val="134"/>
    </font>
    <font>
      <b/>
      <sz val="48"/>
      <color theme="1"/>
      <name val="Arial"/>
      <charset val="134"/>
    </font>
    <font>
      <sz val="22"/>
      <color rgb="FF8D8E8E"/>
      <name val="Arial Nova"/>
      <charset val="134"/>
    </font>
    <font>
      <sz val="22"/>
      <color rgb="FF262628"/>
      <name val="Arial Nova"/>
      <charset val="134"/>
    </font>
    <font>
      <sz val="22"/>
      <color theme="0"/>
      <name val="Arial Nova"/>
      <charset val="134"/>
    </font>
    <font>
      <sz val="24"/>
      <color theme="1"/>
      <name val="Arial Narrow"/>
      <charset val="134"/>
    </font>
    <font>
      <sz val="24"/>
      <name val="Arial Narrow"/>
      <charset val="134"/>
    </font>
    <font>
      <b/>
      <sz val="22"/>
      <color theme="0"/>
      <name val="Arial Nova"/>
      <charset val="134"/>
    </font>
    <font>
      <b/>
      <sz val="22"/>
      <color theme="0"/>
      <name val="Arial"/>
      <charset val="134"/>
    </font>
    <font>
      <sz val="20"/>
      <color rgb="FF262628"/>
      <name val="Arial Nova"/>
      <charset val="134"/>
    </font>
    <font>
      <b/>
      <sz val="22"/>
      <color rgb="FF065A98"/>
      <name val="Arial Nova"/>
      <charset val="134"/>
    </font>
    <font>
      <b/>
      <sz val="22"/>
      <color theme="1"/>
      <name val="Arial"/>
      <charset val="134"/>
    </font>
    <font>
      <sz val="11"/>
      <color rgb="FF262628"/>
      <name val="Arial Nova"/>
      <charset val="134"/>
    </font>
    <font>
      <sz val="24"/>
      <color rgb="FFFF0000"/>
      <name val="Arial Narrow"/>
      <charset val="134"/>
    </font>
    <font>
      <i/>
      <sz val="24"/>
      <color rgb="FFFF0000"/>
      <name val="Arial Narrow"/>
      <charset val="134"/>
    </font>
    <font>
      <sz val="16"/>
      <color theme="1"/>
      <name val="Ariasl"/>
      <charset val="134"/>
    </font>
    <font>
      <sz val="11"/>
      <color theme="1"/>
      <name val="Ariasl"/>
      <charset val="134"/>
    </font>
    <font>
      <b/>
      <sz val="11"/>
      <color theme="1"/>
      <name val="Ariasl"/>
      <charset val="134"/>
    </font>
    <font>
      <b/>
      <sz val="11"/>
      <color theme="0"/>
      <name val="Arial Nova"/>
      <charset val="134"/>
    </font>
    <font>
      <b/>
      <sz val="10"/>
      <color theme="1"/>
      <name val="Arial Narrow"/>
      <charset val="134"/>
    </font>
    <font>
      <sz val="10"/>
      <color theme="1"/>
      <name val="Arial Narrow"/>
      <charset val="134"/>
    </font>
    <font>
      <b/>
      <sz val="10"/>
      <color theme="0"/>
      <name val="Arial Narrow"/>
      <charset val="134"/>
    </font>
    <font>
      <i/>
      <sz val="26"/>
      <color theme="1"/>
      <name val="Ariasl"/>
      <charset val="134"/>
    </font>
    <font>
      <b/>
      <i/>
      <sz val="26"/>
      <color theme="1"/>
      <name val="Ariasl"/>
      <charset val="134"/>
    </font>
    <font>
      <b/>
      <sz val="11"/>
      <color theme="1"/>
      <name val="Arial Narrow"/>
      <charset val="134"/>
    </font>
    <font>
      <sz val="11"/>
      <color theme="1"/>
      <name val="Arial Narrow"/>
      <charset val="134"/>
    </font>
    <font>
      <b/>
      <sz val="12"/>
      <color theme="1"/>
      <name val="Arial Nova"/>
      <charset val="134"/>
    </font>
    <font>
      <sz val="12"/>
      <color theme="1"/>
      <name val="Arial Nova"/>
      <charset val="134"/>
    </font>
    <font>
      <b/>
      <sz val="10"/>
      <color rgb="FF030303"/>
      <name val="Arial Narrow"/>
      <charset val="134"/>
    </font>
    <font>
      <sz val="10"/>
      <name val="Arial Narrow"/>
      <charset val="134"/>
    </font>
    <font>
      <sz val="10"/>
      <color rgb="FF030303"/>
      <name val="Arial Narrow"/>
      <charset val="134"/>
    </font>
    <font>
      <b/>
      <sz val="11"/>
      <color theme="0"/>
      <name val="Arial Narrow"/>
      <charset val="134"/>
    </font>
    <font>
      <sz val="28"/>
      <color theme="1"/>
      <name val="Arial Nova"/>
      <charset val="134"/>
    </font>
    <font>
      <sz val="16"/>
      <color theme="1"/>
      <name val="Arial Nova"/>
      <charset val="134"/>
    </font>
    <font>
      <sz val="10"/>
      <color theme="1"/>
      <name val="Arial Nova"/>
      <charset val="134"/>
    </font>
    <font>
      <sz val="10"/>
      <color theme="4" tint="-0.499984740745262"/>
      <name val="Arial Nova"/>
      <charset val="134"/>
    </font>
    <font>
      <b/>
      <sz val="10"/>
      <color theme="4" tint="-0.499984740745262"/>
      <name val="Arial Nova"/>
      <charset val="134"/>
    </font>
    <font>
      <sz val="26"/>
      <color rgb="FFE32827"/>
      <name val="Arial Nova"/>
      <charset val="134"/>
    </font>
    <font>
      <sz val="28"/>
      <color rgb="FFE32827"/>
      <name val="Arial Nova"/>
      <charset val="134"/>
    </font>
    <font>
      <sz val="18"/>
      <color rgb="FF8D8E8E"/>
      <name val="Arial Nova"/>
      <charset val="134"/>
    </font>
    <font>
      <sz val="10"/>
      <color rgb="FF262628"/>
      <name val="Arial Nova"/>
      <charset val="134"/>
    </font>
    <font>
      <sz val="12"/>
      <color rgb="FF262628"/>
      <name val="Arial Nova"/>
      <charset val="134"/>
    </font>
    <font>
      <b/>
      <sz val="11"/>
      <color rgb="FF262628"/>
      <name val="Arial Nova"/>
      <charset val="134"/>
    </font>
    <font>
      <sz val="11"/>
      <color rgb="FFE32827"/>
      <name val="Arial Nova"/>
      <charset val="134"/>
    </font>
    <font>
      <sz val="11"/>
      <color rgb="FF065A98"/>
      <name val="Arial Nova"/>
      <charset val="134"/>
    </font>
    <font>
      <b/>
      <sz val="10"/>
      <color theme="1" tint="0.0499893185216834"/>
      <name val="Arial Nova"/>
      <charset val="134"/>
    </font>
    <font>
      <sz val="11"/>
      <color theme="1" tint="0.0499893185216834"/>
      <name val="Arial Nova"/>
      <charset val="134"/>
    </font>
    <font>
      <sz val="9"/>
      <color theme="1" tint="0.0499893185216834"/>
      <name val="Arial Nova"/>
      <charset val="134"/>
    </font>
    <font>
      <sz val="10"/>
      <color theme="1" tint="0.0499893185216834"/>
      <name val="Arial Nova"/>
      <charset val="134"/>
    </font>
    <font>
      <b/>
      <sz val="10"/>
      <color theme="1"/>
      <name val="Arial Nova"/>
      <charset val="134"/>
    </font>
    <font>
      <b/>
      <sz val="11"/>
      <color theme="1"/>
      <name val="Arial Nova"/>
      <charset val="134"/>
    </font>
    <font>
      <b/>
      <sz val="9"/>
      <color theme="1"/>
      <name val="Arial Nova"/>
      <charset val="134"/>
    </font>
    <font>
      <sz val="9"/>
      <color theme="4" tint="-0.499984740745262"/>
      <name val="Arial Nova"/>
      <charset val="134"/>
    </font>
    <font>
      <sz val="13"/>
      <color theme="0"/>
      <name val="Arial Nova"/>
      <charset val="134"/>
    </font>
    <font>
      <sz val="14"/>
      <color theme="0"/>
      <name val="Arial Nova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134"/>
      <scheme val="minor"/>
    </font>
    <font>
      <sz val="18"/>
      <color theme="3"/>
      <name val="Calibri Light"/>
      <charset val="134"/>
      <scheme val="major"/>
    </font>
    <font>
      <i/>
      <sz val="11"/>
      <color rgb="FF7F7F7F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134"/>
      <scheme val="minor"/>
    </font>
    <font>
      <b/>
      <sz val="11"/>
      <color rgb="FF3F3F3F"/>
      <name val="Calibri"/>
      <charset val="134"/>
      <scheme val="minor"/>
    </font>
    <font>
      <b/>
      <sz val="11"/>
      <color rgb="FFFA7D0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sz val="11"/>
      <color rgb="FFFA7D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rgb="FF006100"/>
      <name val="Calibri"/>
      <charset val="134"/>
      <scheme val="minor"/>
    </font>
    <font>
      <sz val="11"/>
      <color rgb="FF9C0006"/>
      <name val="Calibri"/>
      <charset val="134"/>
      <scheme val="minor"/>
    </font>
    <font>
      <sz val="11"/>
      <color rgb="FF9C5700"/>
      <name val="Calibri"/>
      <charset val="134"/>
      <scheme val="minor"/>
    </font>
    <font>
      <sz val="11"/>
      <color theme="0"/>
      <name val="Calibri"/>
      <charset val="134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3282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D8E8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"/>
      </patternFill>
    </fill>
    <fill>
      <patternFill patternType="solid">
        <fgColor rgb="FF065A9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theme="0" tint="-0.14996795556505"/>
      </bottom>
      <diagonal/>
    </border>
    <border>
      <left/>
      <right/>
      <top style="thin">
        <color theme="0" tint="-0.14996795556505"/>
      </top>
      <bottom style="thin">
        <color theme="0" tint="-0.14996795556505"/>
      </bottom>
      <diagonal/>
    </border>
    <border>
      <left/>
      <right/>
      <top style="medium">
        <color theme="0" tint="-0.499984740745262"/>
      </top>
      <bottom style="thin">
        <color theme="0" tint="-0.0499893185216834"/>
      </bottom>
      <diagonal/>
    </border>
    <border>
      <left/>
      <right/>
      <top style="thin">
        <color theme="0" tint="-0.0499893185216834"/>
      </top>
      <bottom style="thin">
        <color theme="0" tint="-0.0499893185216834"/>
      </bottom>
      <diagonal/>
    </border>
    <border>
      <left/>
      <right/>
      <top style="thin">
        <color theme="0" tint="-0.0499893185216834"/>
      </top>
      <bottom style="medium">
        <color theme="0" tint="-0.499984740745262"/>
      </bottom>
      <diagonal/>
    </border>
    <border>
      <left/>
      <right/>
      <top style="thin">
        <color theme="0" tint="-0.14996795556505"/>
      </top>
      <bottom/>
      <diagonal/>
    </border>
    <border>
      <left style="thin">
        <color theme="2" tint="-0.899929807428205"/>
      </left>
      <right style="thin">
        <color theme="2" tint="-0.899960325937681"/>
      </right>
      <top style="thin">
        <color theme="2" tint="-0.899929807428205"/>
      </top>
      <bottom style="thin">
        <color theme="2" tint="-0.899929807428205"/>
      </bottom>
      <diagonal/>
    </border>
    <border>
      <left style="thin">
        <color theme="2" tint="-0.899960325937681"/>
      </left>
      <right style="thin">
        <color theme="2" tint="-0.899960325937681"/>
      </right>
      <top style="thin">
        <color theme="2" tint="-0.899929807428205"/>
      </top>
      <bottom style="thin">
        <color theme="2" tint="-0.899929807428205"/>
      </bottom>
      <diagonal/>
    </border>
    <border>
      <left/>
      <right style="thin">
        <color theme="2" tint="-0.899960325937681"/>
      </right>
      <top/>
      <bottom/>
      <diagonal/>
    </border>
    <border>
      <left style="thin">
        <color theme="2" tint="-0.899960325937681"/>
      </left>
      <right style="thin">
        <color theme="2" tint="-0.899960325937681"/>
      </right>
      <top/>
      <bottom/>
      <diagonal/>
    </border>
    <border>
      <left style="thin">
        <color theme="2" tint="-0.899960325937681"/>
      </left>
      <right style="thin">
        <color theme="2" tint="-0.899929807428205"/>
      </right>
      <top style="thin">
        <color theme="2" tint="-0.899929807428205"/>
      </top>
      <bottom style="thin">
        <color theme="2" tint="-0.899929807428205"/>
      </bottom>
      <diagonal/>
    </border>
    <border>
      <left style="thin">
        <color theme="2" tint="-0.899960325937681"/>
      </left>
      <right/>
      <top/>
      <bottom/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049989318521683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0499893185216834"/>
      </top>
      <bottom style="thin">
        <color theme="0" tint="-0.0499893185216834"/>
      </bottom>
      <diagonal/>
    </border>
    <border>
      <left/>
      <right/>
      <top/>
      <bottom style="medium">
        <color rgb="FF8D8E8E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8D8E8E"/>
      </top>
      <bottom style="thin">
        <color theme="0" tint="-0.14996795556505"/>
      </bottom>
      <diagonal/>
    </border>
    <border>
      <left/>
      <right/>
      <top style="thin">
        <color theme="0" tint="-0.14996795556505"/>
      </top>
      <bottom style="medium">
        <color rgb="FF8D8E8E"/>
      </bottom>
      <diagonal/>
    </border>
    <border>
      <left/>
      <right/>
      <top style="thin">
        <color theme="0" tint="-0.14996795556505"/>
      </top>
      <bottom style="medium">
        <color rgb="FFFF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0" fillId="11" borderId="21" applyNumberFormat="0" applyFont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22" applyNumberFormat="0" applyFill="0" applyAlignment="0" applyProtection="0"/>
    <xf numFmtId="0" fontId="66" fillId="0" borderId="23" applyNumberFormat="0" applyFill="0" applyAlignment="0" applyProtection="0"/>
    <xf numFmtId="0" fontId="67" fillId="0" borderId="24" applyNumberFormat="0" applyFill="0" applyAlignment="0" applyProtection="0"/>
    <xf numFmtId="0" fontId="67" fillId="0" borderId="0" applyNumberFormat="0" applyFill="0" applyBorder="0" applyAlignment="0" applyProtection="0"/>
    <xf numFmtId="0" fontId="68" fillId="12" borderId="25" applyNumberFormat="0" applyAlignment="0" applyProtection="0"/>
    <xf numFmtId="0" fontId="69" fillId="13" borderId="26" applyNumberFormat="0" applyAlignment="0" applyProtection="0"/>
    <xf numFmtId="0" fontId="70" fillId="13" borderId="25" applyNumberFormat="0" applyAlignment="0" applyProtection="0"/>
    <xf numFmtId="0" fontId="71" fillId="14" borderId="27" applyNumberFormat="0" applyAlignment="0" applyProtection="0"/>
    <xf numFmtId="0" fontId="72" fillId="0" borderId="28" applyNumberFormat="0" applyFill="0" applyAlignment="0" applyProtection="0"/>
    <xf numFmtId="0" fontId="73" fillId="0" borderId="29" applyNumberFormat="0" applyFill="0" applyAlignment="0" applyProtection="0"/>
    <xf numFmtId="0" fontId="74" fillId="15" borderId="0" applyNumberFormat="0" applyBorder="0" applyAlignment="0" applyProtection="0"/>
    <xf numFmtId="0" fontId="75" fillId="16" borderId="0" applyNumberFormat="0" applyBorder="0" applyAlignment="0" applyProtection="0"/>
    <xf numFmtId="0" fontId="76" fillId="17" borderId="0" applyNumberFormat="0" applyBorder="0" applyAlignment="0" applyProtection="0"/>
    <xf numFmtId="0" fontId="77" fillId="18" borderId="0" applyNumberFormat="0" applyBorder="0" applyAlignment="0" applyProtection="0"/>
    <xf numFmtId="0" fontId="0" fillId="19" borderId="0" applyNumberFormat="0" applyBorder="0" applyAlignment="0" applyProtection="0"/>
    <xf numFmtId="0" fontId="0" fillId="20" borderId="0" applyNumberFormat="0" applyBorder="0" applyAlignment="0" applyProtection="0"/>
    <xf numFmtId="0" fontId="0" fillId="21" borderId="0" applyNumberFormat="0" applyBorder="0" applyAlignment="0" applyProtection="0"/>
    <xf numFmtId="0" fontId="77" fillId="22" borderId="0" applyNumberFormat="0" applyBorder="0" applyAlignment="0" applyProtection="0"/>
    <xf numFmtId="0" fontId="0" fillId="23" borderId="0" applyNumberFormat="0" applyBorder="0" applyAlignment="0" applyProtection="0"/>
    <xf numFmtId="0" fontId="0" fillId="24" borderId="0" applyNumberFormat="0" applyBorder="0" applyAlignment="0" applyProtection="0"/>
    <xf numFmtId="0" fontId="0" fillId="25" borderId="0" applyNumberFormat="0" applyBorder="0" applyAlignment="0" applyProtection="0"/>
    <xf numFmtId="0" fontId="77" fillId="26" borderId="0" applyNumberFormat="0" applyBorder="0" applyAlignment="0" applyProtection="0"/>
    <xf numFmtId="0" fontId="0" fillId="27" borderId="0" applyNumberFormat="0" applyBorder="0" applyAlignment="0" applyProtection="0"/>
    <xf numFmtId="0" fontId="0" fillId="28" borderId="0" applyNumberFormat="0" applyBorder="0" applyAlignment="0" applyProtection="0"/>
    <xf numFmtId="0" fontId="0" fillId="29" borderId="0" applyNumberFormat="0" applyBorder="0" applyAlignment="0" applyProtection="0"/>
    <xf numFmtId="0" fontId="77" fillId="30" borderId="0" applyNumberFormat="0" applyBorder="0" applyAlignment="0" applyProtection="0"/>
    <xf numFmtId="0" fontId="0" fillId="31" borderId="0" applyNumberFormat="0" applyBorder="0" applyAlignment="0" applyProtection="0"/>
    <xf numFmtId="0" fontId="0" fillId="32" borderId="0" applyNumberFormat="0" applyBorder="0" applyAlignment="0" applyProtection="0"/>
    <xf numFmtId="0" fontId="0" fillId="33" borderId="0" applyNumberFormat="0" applyBorder="0" applyAlignment="0" applyProtection="0"/>
    <xf numFmtId="0" fontId="77" fillId="34" borderId="0" applyNumberFormat="0" applyBorder="0" applyAlignment="0" applyProtection="0"/>
    <xf numFmtId="0" fontId="0" fillId="35" borderId="0" applyNumberFormat="0" applyBorder="0" applyAlignment="0" applyProtection="0"/>
    <xf numFmtId="0" fontId="0" fillId="36" borderId="0" applyNumberFormat="0" applyBorder="0" applyAlignment="0" applyProtection="0"/>
    <xf numFmtId="0" fontId="0" fillId="37" borderId="0" applyNumberFormat="0" applyBorder="0" applyAlignment="0" applyProtection="0"/>
    <xf numFmtId="0" fontId="77" fillId="38" borderId="0" applyNumberFormat="0" applyBorder="0" applyAlignment="0" applyProtection="0"/>
    <xf numFmtId="0" fontId="0" fillId="39" borderId="0" applyNumberFormat="0" applyBorder="0" applyAlignment="0" applyProtection="0"/>
    <xf numFmtId="0" fontId="0" fillId="40" borderId="0" applyNumberFormat="0" applyBorder="0" applyAlignment="0" applyProtection="0"/>
    <xf numFmtId="0" fontId="0" fillId="41" borderId="0" applyNumberFormat="0" applyBorder="0" applyAlignment="0" applyProtection="0"/>
  </cellStyleXfs>
  <cellXfs count="231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3" fillId="0" borderId="0" xfId="0" applyFont="1"/>
    <xf numFmtId="0" fontId="3" fillId="0" borderId="0" xfId="0" applyFont="1" applyAlignment="1">
      <alignment vertical="center"/>
    </xf>
    <xf numFmtId="0" fontId="4" fillId="0" borderId="0" xfId="0" applyFont="1"/>
    <xf numFmtId="180" fontId="4" fillId="0" borderId="0" xfId="0" applyNumberFormat="1" applyFont="1"/>
    <xf numFmtId="0" fontId="4" fillId="0" borderId="0" xfId="0" applyFont="1" applyAlignment="1">
      <alignment horizontal="center"/>
    </xf>
    <xf numFmtId="181" fontId="4" fillId="0" borderId="0" xfId="0" applyNumberFormat="1" applyFont="1" applyAlignment="1">
      <alignment horizontal="center"/>
    </xf>
    <xf numFmtId="18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left" indent="1"/>
    </xf>
    <xf numFmtId="9" fontId="4" fillId="0" borderId="0" xfId="3" applyFont="1" applyAlignment="1">
      <alignment horizontal="left" indent="1"/>
    </xf>
    <xf numFmtId="182" fontId="4" fillId="0" borderId="0" xfId="0" applyNumberFormat="1" applyFont="1"/>
    <xf numFmtId="0" fontId="5" fillId="0" borderId="0" xfId="0" applyFont="1"/>
    <xf numFmtId="0" fontId="6" fillId="0" borderId="0" xfId="0" applyFont="1" applyAlignment="1">
      <alignment horizontal="left" vertical="center" indent="2"/>
    </xf>
    <xf numFmtId="0" fontId="7" fillId="0" borderId="0" xfId="0" applyFont="1" applyAlignment="1">
      <alignment horizontal="left" vertical="center" indent="4"/>
    </xf>
    <xf numFmtId="0" fontId="2" fillId="0" borderId="0" xfId="0" applyFont="1" applyAlignment="1">
      <alignment horizontal="left" vertical="center" indent="4"/>
    </xf>
    <xf numFmtId="180" fontId="1" fillId="0" borderId="0" xfId="0" applyNumberFormat="1" applyFont="1"/>
    <xf numFmtId="0" fontId="8" fillId="0" borderId="0" xfId="0" applyFont="1" applyAlignment="1">
      <alignment horizontal="left" vertical="center" indent="4"/>
    </xf>
    <xf numFmtId="181" fontId="1" fillId="0" borderId="0" xfId="0" applyNumberFormat="1" applyFont="1" applyAlignment="1">
      <alignment horizontal="center"/>
    </xf>
    <xf numFmtId="182" fontId="1" fillId="0" borderId="0" xfId="0" applyNumberFormat="1" applyFont="1" applyAlignment="1">
      <alignment horizontal="center" vertical="center"/>
    </xf>
    <xf numFmtId="183" fontId="8" fillId="0" borderId="0" xfId="0" applyNumberFormat="1" applyFont="1" applyAlignment="1">
      <alignment horizontal="left" vertical="center" indent="4"/>
    </xf>
    <xf numFmtId="0" fontId="9" fillId="2" borderId="1" xfId="0" applyFont="1" applyFill="1" applyBorder="1" applyAlignment="1">
      <alignment horizontal="center" vertical="center" wrapText="1"/>
    </xf>
    <xf numFmtId="181" fontId="9" fillId="2" borderId="1" xfId="0" applyNumberFormat="1" applyFont="1" applyFill="1" applyBorder="1" applyAlignment="1">
      <alignment horizontal="center" vertical="center" wrapText="1"/>
    </xf>
    <xf numFmtId="182" fontId="9" fillId="2" borderId="1" xfId="0" applyNumberFormat="1" applyFont="1" applyFill="1" applyBorder="1" applyAlignment="1">
      <alignment horizontal="center" vertical="center" wrapText="1"/>
    </xf>
    <xf numFmtId="184" fontId="10" fillId="0" borderId="2" xfId="0" applyNumberFormat="1" applyFont="1" applyBorder="1" applyAlignment="1">
      <alignment horizontal="left" vertical="center" indent="1"/>
    </xf>
    <xf numFmtId="0" fontId="10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left" vertical="center" wrapText="1" indent="1"/>
    </xf>
    <xf numFmtId="181" fontId="10" fillId="0" borderId="2" xfId="0" applyNumberFormat="1" applyFont="1" applyBorder="1" applyAlignment="1">
      <alignment horizontal="center" vertical="center"/>
    </xf>
    <xf numFmtId="182" fontId="10" fillId="0" borderId="2" xfId="0" applyNumberFormat="1" applyFont="1" applyBorder="1" applyAlignment="1">
      <alignment horizontal="center" vertical="center"/>
    </xf>
    <xf numFmtId="184" fontId="10" fillId="0" borderId="2" xfId="0" applyNumberFormat="1" applyFont="1" applyBorder="1" applyAlignment="1">
      <alignment horizontal="left" vertical="center" indent="2"/>
    </xf>
    <xf numFmtId="0" fontId="10" fillId="0" borderId="2" xfId="0" applyFont="1" applyBorder="1" applyAlignment="1">
      <alignment horizontal="left" vertical="center" wrapText="1" indent="2"/>
    </xf>
    <xf numFmtId="0" fontId="10" fillId="0" borderId="2" xfId="0" applyFont="1" applyBorder="1" applyAlignment="1">
      <alignment horizontal="left" vertical="center" wrapText="1" indent="1"/>
    </xf>
    <xf numFmtId="181" fontId="12" fillId="3" borderId="3" xfId="0" applyNumberFormat="1" applyFont="1" applyFill="1" applyBorder="1" applyAlignment="1">
      <alignment horizontal="left" vertical="center" indent="1"/>
    </xf>
    <xf numFmtId="9" fontId="13" fillId="0" borderId="0" xfId="3" applyFont="1" applyAlignment="1">
      <alignment horizontal="left" vertical="center" indent="1"/>
    </xf>
    <xf numFmtId="0" fontId="14" fillId="0" borderId="4" xfId="0" applyFont="1" applyBorder="1" applyAlignment="1">
      <alignment horizontal="left" vertical="center" indent="1"/>
    </xf>
    <xf numFmtId="0" fontId="15" fillId="0" borderId="4" xfId="0" applyFont="1" applyBorder="1" applyAlignment="1">
      <alignment horizontal="left" vertical="center" indent="1"/>
    </xf>
    <xf numFmtId="182" fontId="2" fillId="4" borderId="4" xfId="0" applyNumberFormat="1" applyFont="1" applyFill="1" applyBorder="1" applyAlignment="1">
      <alignment horizontal="left" vertical="center"/>
    </xf>
    <xf numFmtId="9" fontId="16" fillId="0" borderId="0" xfId="3" applyFont="1" applyAlignment="1">
      <alignment horizontal="left" vertical="center" indent="3"/>
    </xf>
    <xf numFmtId="0" fontId="17" fillId="0" borderId="4" xfId="0" applyFont="1" applyBorder="1" applyAlignment="1">
      <alignment horizontal="left" vertical="center" indent="1"/>
    </xf>
    <xf numFmtId="182" fontId="2" fillId="0" borderId="4" xfId="0" applyNumberFormat="1" applyFont="1" applyBorder="1" applyAlignment="1">
      <alignment horizontal="left" vertical="center"/>
    </xf>
    <xf numFmtId="10" fontId="2" fillId="0" borderId="4" xfId="3" applyNumberFormat="1" applyFont="1" applyBorder="1" applyAlignment="1">
      <alignment horizontal="left" vertical="center"/>
    </xf>
    <xf numFmtId="9" fontId="16" fillId="0" borderId="0" xfId="3" applyFont="1" applyFill="1" applyBorder="1" applyAlignment="1">
      <alignment horizontal="left" vertical="center" indent="3"/>
    </xf>
    <xf numFmtId="185" fontId="2" fillId="0" borderId="4" xfId="0" applyNumberFormat="1" applyFont="1" applyBorder="1" applyAlignment="1">
      <alignment horizontal="left" vertical="center"/>
    </xf>
    <xf numFmtId="182" fontId="1" fillId="0" borderId="0" xfId="0" applyNumberFormat="1" applyFont="1"/>
    <xf numFmtId="0" fontId="1" fillId="0" borderId="4" xfId="0" applyFont="1" applyBorder="1" applyAlignment="1">
      <alignment horizontal="left" indent="1"/>
    </xf>
    <xf numFmtId="0" fontId="14" fillId="0" borderId="5" xfId="0" applyFont="1" applyBorder="1" applyAlignment="1">
      <alignment horizontal="left" vertical="center" indent="1"/>
    </xf>
    <xf numFmtId="0" fontId="17" fillId="0" borderId="5" xfId="0" applyFont="1" applyBorder="1" applyAlignment="1">
      <alignment horizontal="left" vertical="center" indent="1"/>
    </xf>
    <xf numFmtId="185" fontId="2" fillId="0" borderId="5" xfId="0" applyNumberFormat="1" applyFont="1" applyBorder="1" applyAlignment="1">
      <alignment horizontal="left" vertical="center"/>
    </xf>
    <xf numFmtId="9" fontId="9" fillId="2" borderId="1" xfId="3" applyFont="1" applyFill="1" applyBorder="1" applyAlignment="1">
      <alignment horizontal="center" vertical="center" wrapText="1"/>
    </xf>
    <xf numFmtId="182" fontId="10" fillId="0" borderId="2" xfId="0" applyNumberFormat="1" applyFont="1" applyBorder="1" applyAlignment="1">
      <alignment horizontal="left" vertical="center" indent="1"/>
    </xf>
    <xf numFmtId="181" fontId="10" fillId="0" borderId="2" xfId="0" applyNumberFormat="1" applyFont="1" applyBorder="1" applyAlignment="1">
      <alignment horizontal="left" vertical="center" indent="1"/>
    </xf>
    <xf numFmtId="0" fontId="10" fillId="0" borderId="2" xfId="0" applyFont="1" applyBorder="1" applyAlignment="1">
      <alignment horizontal="left" vertical="center" indent="1"/>
    </xf>
    <xf numFmtId="9" fontId="10" fillId="0" borderId="2" xfId="3" applyFont="1" applyBorder="1" applyAlignment="1">
      <alignment horizontal="left" vertical="center" indent="1"/>
    </xf>
    <xf numFmtId="0" fontId="10" fillId="0" borderId="2" xfId="0" applyFont="1" applyBorder="1" applyAlignment="1">
      <alignment horizontal="left" vertical="center" indent="2"/>
    </xf>
    <xf numFmtId="182" fontId="10" fillId="0" borderId="2" xfId="0" applyNumberFormat="1" applyFont="1" applyBorder="1" applyAlignment="1">
      <alignment horizontal="left" vertical="center" indent="2"/>
    </xf>
    <xf numFmtId="181" fontId="10" fillId="0" borderId="2" xfId="0" applyNumberFormat="1" applyFont="1" applyBorder="1" applyAlignment="1">
      <alignment horizontal="left" vertical="center" indent="2"/>
    </xf>
    <xf numFmtId="9" fontId="10" fillId="0" borderId="2" xfId="3" applyFont="1" applyBorder="1" applyAlignment="1">
      <alignment horizontal="left" vertical="center" indent="2"/>
    </xf>
    <xf numFmtId="0" fontId="10" fillId="0" borderId="2" xfId="0" applyFont="1" applyBorder="1" applyAlignment="1">
      <alignment horizontal="left" vertical="center" indent="3"/>
    </xf>
    <xf numFmtId="0" fontId="10" fillId="0" borderId="2" xfId="0" applyFont="1" applyBorder="1" applyAlignment="1">
      <alignment horizontal="left" indent="1"/>
    </xf>
    <xf numFmtId="9" fontId="10" fillId="0" borderId="2" xfId="3" applyFont="1" applyBorder="1" applyAlignment="1">
      <alignment horizontal="left" indent="1"/>
    </xf>
    <xf numFmtId="182" fontId="10" fillId="0" borderId="2" xfId="0" applyNumberFormat="1" applyFont="1" applyBorder="1" applyAlignment="1">
      <alignment horizontal="left" indent="1"/>
    </xf>
    <xf numFmtId="181" fontId="18" fillId="0" borderId="2" xfId="0" applyNumberFormat="1" applyFont="1" applyBorder="1" applyAlignment="1">
      <alignment horizontal="center" vertical="center"/>
    </xf>
    <xf numFmtId="184" fontId="10" fillId="0" borderId="6" xfId="0" applyNumberFormat="1" applyFont="1" applyBorder="1" applyAlignment="1">
      <alignment horizontal="left" vertical="center" indent="1"/>
    </xf>
    <xf numFmtId="0" fontId="10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left" vertical="center" wrapText="1" indent="1"/>
    </xf>
    <xf numFmtId="181" fontId="10" fillId="0" borderId="6" xfId="0" applyNumberFormat="1" applyFont="1" applyBorder="1" applyAlignment="1">
      <alignment horizontal="center" vertical="center"/>
    </xf>
    <xf numFmtId="182" fontId="10" fillId="0" borderId="6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indent="1"/>
    </xf>
    <xf numFmtId="9" fontId="19" fillId="0" borderId="2" xfId="3" applyFont="1" applyBorder="1" applyAlignment="1">
      <alignment horizontal="left" vertical="center" indent="1"/>
    </xf>
    <xf numFmtId="182" fontId="19" fillId="0" borderId="2" xfId="0" applyNumberFormat="1" applyFont="1" applyBorder="1" applyAlignment="1">
      <alignment horizontal="left" vertical="center" indent="1"/>
    </xf>
    <xf numFmtId="182" fontId="10" fillId="0" borderId="6" xfId="0" applyNumberFormat="1" applyFont="1" applyBorder="1" applyAlignment="1">
      <alignment horizontal="left" vertical="center" indent="1"/>
    </xf>
    <xf numFmtId="181" fontId="10" fillId="0" borderId="6" xfId="0" applyNumberFormat="1" applyFont="1" applyBorder="1" applyAlignment="1">
      <alignment horizontal="left" vertical="center" indent="1"/>
    </xf>
    <xf numFmtId="0" fontId="10" fillId="0" borderId="6" xfId="0" applyFont="1" applyBorder="1" applyAlignment="1">
      <alignment horizontal="left" vertical="center" indent="1"/>
    </xf>
    <xf numFmtId="9" fontId="10" fillId="0" borderId="6" xfId="3" applyFont="1" applyBorder="1" applyAlignment="1">
      <alignment horizontal="left" vertical="center" indent="1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/>
    </xf>
    <xf numFmtId="186" fontId="21" fillId="0" borderId="0" xfId="0" applyNumberFormat="1" applyFont="1" applyAlignment="1">
      <alignment horizontal="center"/>
    </xf>
    <xf numFmtId="187" fontId="21" fillId="0" borderId="0" xfId="0" applyNumberFormat="1" applyFont="1" applyAlignment="1">
      <alignment horizontal="center"/>
    </xf>
    <xf numFmtId="182" fontId="21" fillId="0" borderId="0" xfId="0" applyNumberFormat="1" applyFont="1" applyAlignment="1">
      <alignment horizontal="center"/>
    </xf>
    <xf numFmtId="188" fontId="21" fillId="0" borderId="0" xfId="0" applyNumberFormat="1" applyFont="1" applyAlignment="1">
      <alignment horizontal="center"/>
    </xf>
    <xf numFmtId="182" fontId="21" fillId="0" borderId="0" xfId="0" applyNumberFormat="1" applyFont="1" applyAlignment="1">
      <alignment horizontal="center" vertical="center"/>
    </xf>
    <xf numFmtId="0" fontId="23" fillId="5" borderId="7" xfId="0" applyFont="1" applyFill="1" applyBorder="1" applyAlignment="1">
      <alignment horizontal="left" vertical="center" indent="1"/>
    </xf>
    <xf numFmtId="0" fontId="23" fillId="5" borderId="8" xfId="0" applyFont="1" applyFill="1" applyBorder="1" applyAlignment="1">
      <alignment horizontal="left" vertical="center" indent="1"/>
    </xf>
    <xf numFmtId="186" fontId="23" fillId="5" borderId="8" xfId="0" applyNumberFormat="1" applyFont="1" applyFill="1" applyBorder="1" applyAlignment="1">
      <alignment horizontal="left" vertical="center" indent="1"/>
    </xf>
    <xf numFmtId="187" fontId="23" fillId="5" borderId="8" xfId="0" applyNumberFormat="1" applyFont="1" applyFill="1" applyBorder="1" applyAlignment="1">
      <alignment horizontal="left" vertical="center" indent="1"/>
    </xf>
    <xf numFmtId="0" fontId="24" fillId="0" borderId="9" xfId="0" applyFont="1" applyBorder="1" applyAlignment="1">
      <alignment horizontal="left" vertical="center" indent="1"/>
    </xf>
    <xf numFmtId="0" fontId="25" fillId="0" borderId="10" xfId="0" applyFont="1" applyBorder="1" applyAlignment="1">
      <alignment horizontal="left" vertical="center" indent="1"/>
    </xf>
    <xf numFmtId="189" fontId="25" fillId="0" borderId="10" xfId="0" applyNumberFormat="1" applyFont="1" applyBorder="1" applyAlignment="1">
      <alignment horizontal="left" vertical="center" indent="1"/>
    </xf>
    <xf numFmtId="186" fontId="25" fillId="0" borderId="10" xfId="0" applyNumberFormat="1" applyFont="1" applyBorder="1" applyAlignment="1">
      <alignment horizontal="left" vertical="center" indent="1"/>
    </xf>
    <xf numFmtId="187" fontId="25" fillId="0" borderId="10" xfId="0" applyNumberFormat="1" applyFont="1" applyBorder="1" applyAlignment="1">
      <alignment horizontal="left" vertical="center" indent="1"/>
    </xf>
    <xf numFmtId="0" fontId="24" fillId="0" borderId="10" xfId="0" applyFont="1" applyBorder="1" applyAlignment="1">
      <alignment horizontal="left" vertical="center" indent="1"/>
    </xf>
    <xf numFmtId="185" fontId="25" fillId="0" borderId="10" xfId="0" applyNumberFormat="1" applyFont="1" applyBorder="1" applyAlignment="1">
      <alignment horizontal="left" vertical="center" indent="1"/>
    </xf>
    <xf numFmtId="0" fontId="26" fillId="5" borderId="9" xfId="0" applyFont="1" applyFill="1" applyBorder="1" applyAlignment="1">
      <alignment horizontal="left" vertical="center" indent="1"/>
    </xf>
    <xf numFmtId="0" fontId="26" fillId="5" borderId="10" xfId="0" applyFont="1" applyFill="1" applyBorder="1" applyAlignment="1">
      <alignment horizontal="left" vertical="center" indent="1"/>
    </xf>
    <xf numFmtId="189" fontId="26" fillId="5" borderId="10" xfId="0" applyNumberFormat="1" applyFont="1" applyFill="1" applyBorder="1" applyAlignment="1">
      <alignment horizontal="left" vertical="center" indent="1"/>
    </xf>
    <xf numFmtId="186" fontId="26" fillId="5" borderId="10" xfId="0" applyNumberFormat="1" applyFont="1" applyFill="1" applyBorder="1" applyAlignment="1">
      <alignment horizontal="left" vertical="center" indent="1"/>
    </xf>
    <xf numFmtId="185" fontId="26" fillId="5" borderId="10" xfId="0" applyNumberFormat="1" applyFont="1" applyFill="1" applyBorder="1" applyAlignment="1">
      <alignment horizontal="left" vertical="center" indent="1"/>
    </xf>
    <xf numFmtId="187" fontId="26" fillId="5" borderId="10" xfId="0" applyNumberFormat="1" applyFont="1" applyFill="1" applyBorder="1" applyAlignment="1">
      <alignment horizontal="left" vertical="center" indent="1"/>
    </xf>
    <xf numFmtId="182" fontId="23" fillId="5" borderId="8" xfId="0" applyNumberFormat="1" applyFont="1" applyFill="1" applyBorder="1" applyAlignment="1">
      <alignment horizontal="left" vertical="center" indent="1"/>
    </xf>
    <xf numFmtId="188" fontId="23" fillId="5" borderId="11" xfId="0" applyNumberFormat="1" applyFont="1" applyFill="1" applyBorder="1" applyAlignment="1">
      <alignment horizontal="left" vertical="center" indent="1"/>
    </xf>
    <xf numFmtId="182" fontId="20" fillId="0" borderId="0" xfId="0" applyNumberFormat="1" applyFont="1" applyAlignment="1">
      <alignment horizontal="center" vertical="center"/>
    </xf>
    <xf numFmtId="182" fontId="25" fillId="0" borderId="10" xfId="0" applyNumberFormat="1" applyFont="1" applyBorder="1" applyAlignment="1">
      <alignment horizontal="left" vertical="center" indent="1"/>
    </xf>
    <xf numFmtId="188" fontId="25" fillId="0" borderId="12" xfId="0" applyNumberFormat="1" applyFont="1" applyBorder="1" applyAlignment="1">
      <alignment horizontal="left" vertical="center" indent="1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0" fillId="0" borderId="0" xfId="0" applyFont="1" applyAlignment="1">
      <alignment horizontal="left" vertical="center"/>
    </xf>
    <xf numFmtId="182" fontId="20" fillId="0" borderId="0" xfId="0" applyNumberFormat="1" applyFont="1" applyAlignment="1">
      <alignment horizontal="left" vertical="center"/>
    </xf>
    <xf numFmtId="182" fontId="26" fillId="5" borderId="10" xfId="0" applyNumberFormat="1" applyFont="1" applyFill="1" applyBorder="1" applyAlignment="1">
      <alignment horizontal="left" vertical="center" indent="1"/>
    </xf>
    <xf numFmtId="188" fontId="26" fillId="5" borderId="12" xfId="0" applyNumberFormat="1" applyFont="1" applyFill="1" applyBorder="1" applyAlignment="1">
      <alignment horizontal="left" vertical="center" indent="1"/>
    </xf>
    <xf numFmtId="182" fontId="22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29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 indent="1"/>
    </xf>
    <xf numFmtId="182" fontId="30" fillId="0" borderId="0" xfId="0" applyNumberFormat="1" applyFont="1" applyAlignment="1">
      <alignment horizontal="center"/>
    </xf>
    <xf numFmtId="188" fontId="30" fillId="0" borderId="0" xfId="0" applyNumberFormat="1" applyFont="1" applyAlignment="1">
      <alignment horizontal="center"/>
    </xf>
    <xf numFmtId="9" fontId="30" fillId="0" borderId="0" xfId="3" applyFont="1" applyAlignment="1">
      <alignment horizontal="center"/>
    </xf>
    <xf numFmtId="0" fontId="31" fillId="0" borderId="13" xfId="0" applyFont="1" applyBorder="1" applyAlignment="1">
      <alignment horizontal="centerContinuous" vertical="center"/>
    </xf>
    <xf numFmtId="182" fontId="32" fillId="0" borderId="13" xfId="0" applyNumberFormat="1" applyFont="1" applyBorder="1" applyAlignment="1">
      <alignment horizontal="centerContinuous" vertical="center"/>
    </xf>
    <xf numFmtId="0" fontId="26" fillId="5" borderId="14" xfId="0" applyFont="1" applyFill="1" applyBorder="1" applyAlignment="1">
      <alignment horizontal="left" vertical="center" wrapText="1" indent="1"/>
    </xf>
    <xf numFmtId="0" fontId="26" fillId="5" borderId="14" xfId="0" applyFont="1" applyFill="1" applyBorder="1" applyAlignment="1">
      <alignment horizontal="center" vertical="center" wrapText="1"/>
    </xf>
    <xf numFmtId="182" fontId="26" fillId="5" borderId="14" xfId="0" applyNumberFormat="1" applyFont="1" applyFill="1" applyBorder="1" applyAlignment="1">
      <alignment horizontal="left" vertical="center" wrapText="1" indent="1"/>
    </xf>
    <xf numFmtId="188" fontId="26" fillId="5" borderId="14" xfId="0" applyNumberFormat="1" applyFont="1" applyFill="1" applyBorder="1" applyAlignment="1">
      <alignment horizontal="left" vertical="center" wrapText="1" indent="1"/>
    </xf>
    <xf numFmtId="9" fontId="26" fillId="5" borderId="14" xfId="3" applyFont="1" applyFill="1" applyBorder="1" applyAlignment="1">
      <alignment horizontal="center" vertical="center" wrapText="1"/>
    </xf>
    <xf numFmtId="1" fontId="33" fillId="0" borderId="15" xfId="0" applyNumberFormat="1" applyFont="1" applyBorder="1" applyAlignment="1">
      <alignment horizontal="left" vertical="center" indent="1" shrinkToFit="1"/>
    </xf>
    <xf numFmtId="0" fontId="34" fillId="0" borderId="15" xfId="0" applyFont="1" applyBorder="1" applyAlignment="1">
      <alignment horizontal="left" vertical="center" wrapText="1" indent="1"/>
    </xf>
    <xf numFmtId="1" fontId="34" fillId="0" borderId="15" xfId="0" applyNumberFormat="1" applyFont="1" applyBorder="1" applyAlignment="1">
      <alignment horizontal="center" vertical="center" wrapText="1"/>
    </xf>
    <xf numFmtId="187" fontId="35" fillId="0" borderId="15" xfId="0" applyNumberFormat="1" applyFont="1" applyBorder="1" applyAlignment="1">
      <alignment horizontal="center" vertical="center" shrinkToFit="1"/>
    </xf>
    <xf numFmtId="190" fontId="35" fillId="0" borderId="15" xfId="0" applyNumberFormat="1" applyFont="1" applyBorder="1" applyAlignment="1">
      <alignment horizontal="left" vertical="center" indent="1" shrinkToFit="1"/>
    </xf>
    <xf numFmtId="190" fontId="34" fillId="0" borderId="15" xfId="0" applyNumberFormat="1" applyFont="1" applyBorder="1" applyAlignment="1">
      <alignment horizontal="left" vertical="center" wrapText="1" indent="1"/>
    </xf>
    <xf numFmtId="9" fontId="34" fillId="0" borderId="15" xfId="3" applyFont="1" applyBorder="1" applyAlignment="1">
      <alignment horizontal="center" vertical="center" wrapText="1"/>
    </xf>
    <xf numFmtId="0" fontId="36" fillId="5" borderId="0" xfId="0" applyFont="1" applyFill="1" applyAlignment="1">
      <alignment horizontal="center" vertical="center"/>
    </xf>
    <xf numFmtId="182" fontId="36" fillId="5" borderId="0" xfId="0" applyNumberFormat="1" applyFont="1" applyFill="1" applyAlignment="1">
      <alignment horizontal="center" vertical="center"/>
    </xf>
    <xf numFmtId="188" fontId="36" fillId="5" borderId="0" xfId="0" applyNumberFormat="1" applyFont="1" applyFill="1" applyAlignment="1">
      <alignment horizontal="center" vertical="center"/>
    </xf>
    <xf numFmtId="9" fontId="36" fillId="5" borderId="0" xfId="3" applyFont="1" applyFill="1" applyAlignment="1">
      <alignment horizontal="center" vertical="center"/>
    </xf>
    <xf numFmtId="188" fontId="35" fillId="0" borderId="15" xfId="0" applyNumberFormat="1" applyFont="1" applyBorder="1" applyAlignment="1">
      <alignment horizontal="left" vertical="center" indent="1" shrinkToFit="1"/>
    </xf>
    <xf numFmtId="191" fontId="30" fillId="0" borderId="0" xfId="0" applyNumberFormat="1" applyFont="1" applyAlignment="1">
      <alignment horizontal="center"/>
    </xf>
    <xf numFmtId="0" fontId="37" fillId="0" borderId="0" xfId="0" applyFont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188" fontId="39" fillId="0" borderId="0" xfId="0" applyNumberFormat="1" applyFont="1" applyAlignment="1">
      <alignment horizontal="left" vertical="center"/>
    </xf>
    <xf numFmtId="9" fontId="39" fillId="0" borderId="0" xfId="3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42" fillId="0" borderId="0" xfId="0" applyFont="1" applyAlignment="1">
      <alignment horizontal="left" vertical="center"/>
    </xf>
    <xf numFmtId="0" fontId="43" fillId="0" borderId="0" xfId="0" applyFont="1" applyAlignment="1">
      <alignment horizontal="left" vertical="center"/>
    </xf>
    <xf numFmtId="0" fontId="44" fillId="0" borderId="0" xfId="0" applyFont="1" applyAlignment="1">
      <alignment horizontal="left" vertical="center"/>
    </xf>
    <xf numFmtId="188" fontId="38" fillId="0" borderId="0" xfId="0" applyNumberFormat="1" applyFont="1" applyAlignment="1">
      <alignment horizontal="left" vertical="center"/>
    </xf>
    <xf numFmtId="0" fontId="45" fillId="0" borderId="0" xfId="0" applyFont="1" applyAlignment="1">
      <alignment horizontal="left" vertical="center"/>
    </xf>
    <xf numFmtId="183" fontId="45" fillId="0" borderId="0" xfId="0" applyNumberFormat="1" applyFont="1" applyAlignment="1">
      <alignment horizontal="left" vertical="center"/>
    </xf>
    <xf numFmtId="0" fontId="45" fillId="0" borderId="16" xfId="0" applyFont="1" applyBorder="1" applyAlignment="1">
      <alignment horizontal="left" vertical="center"/>
    </xf>
    <xf numFmtId="0" fontId="39" fillId="0" borderId="16" xfId="0" applyFont="1" applyBorder="1" applyAlignment="1">
      <alignment horizontal="left" vertical="center"/>
    </xf>
    <xf numFmtId="188" fontId="39" fillId="0" borderId="16" xfId="0" applyNumberFormat="1" applyFont="1" applyBorder="1" applyAlignment="1">
      <alignment horizontal="left" vertical="center"/>
    </xf>
    <xf numFmtId="0" fontId="46" fillId="0" borderId="0" xfId="0" applyFont="1" applyAlignment="1">
      <alignment horizontal="left" vertical="center"/>
    </xf>
    <xf numFmtId="0" fontId="47" fillId="0" borderId="17" xfId="0" applyFont="1" applyBorder="1" applyAlignment="1">
      <alignment horizontal="left" vertical="center" indent="1"/>
    </xf>
    <xf numFmtId="192" fontId="48" fillId="0" borderId="17" xfId="0" applyNumberFormat="1" applyFont="1" applyBorder="1" applyAlignment="1">
      <alignment horizontal="left" vertical="center" indent="1"/>
    </xf>
    <xf numFmtId="188" fontId="40" fillId="0" borderId="0" xfId="0" applyNumberFormat="1" applyFont="1" applyAlignment="1">
      <alignment horizontal="center" vertical="center"/>
    </xf>
    <xf numFmtId="0" fontId="17" fillId="0" borderId="18" xfId="0" applyFont="1" applyBorder="1" applyAlignment="1">
      <alignment horizontal="left" vertical="center" indent="1"/>
    </xf>
    <xf numFmtId="181" fontId="48" fillId="0" borderId="18" xfId="0" applyNumberFormat="1" applyFont="1" applyBorder="1" applyAlignment="1">
      <alignment horizontal="right" vertical="center" indent="1"/>
    </xf>
    <xf numFmtId="0" fontId="17" fillId="0" borderId="0" xfId="0" applyFont="1" applyAlignment="1">
      <alignment horizontal="left" vertical="center" indent="1"/>
    </xf>
    <xf numFmtId="188" fontId="40" fillId="0" borderId="0" xfId="0" applyNumberFormat="1" applyFont="1" applyAlignment="1">
      <alignment horizontal="left" vertical="center"/>
    </xf>
    <xf numFmtId="0" fontId="17" fillId="0" borderId="2" xfId="0" applyFont="1" applyBorder="1" applyAlignment="1">
      <alignment horizontal="left" vertical="center" indent="1"/>
    </xf>
    <xf numFmtId="192" fontId="48" fillId="6" borderId="2" xfId="0" applyNumberFormat="1" applyFont="1" applyFill="1" applyBorder="1" applyAlignment="1">
      <alignment horizontal="right" vertical="center" indent="1"/>
    </xf>
    <xf numFmtId="0" fontId="40" fillId="0" borderId="0" xfId="0" applyFont="1" applyAlignment="1">
      <alignment horizontal="left" vertical="center" indent="1"/>
    </xf>
    <xf numFmtId="181" fontId="48" fillId="6" borderId="2" xfId="0" applyNumberFormat="1" applyFont="1" applyFill="1" applyBorder="1" applyAlignment="1">
      <alignment horizontal="right" vertical="center" indent="1"/>
    </xf>
    <xf numFmtId="0" fontId="17" fillId="0" borderId="16" xfId="0" applyFont="1" applyBorder="1" applyAlignment="1">
      <alignment horizontal="left" vertical="center" indent="1"/>
    </xf>
    <xf numFmtId="0" fontId="40" fillId="0" borderId="16" xfId="0" applyFont="1" applyBorder="1" applyAlignment="1">
      <alignment horizontal="left" vertical="center" indent="1"/>
    </xf>
    <xf numFmtId="0" fontId="17" fillId="0" borderId="19" xfId="0" applyFont="1" applyBorder="1" applyAlignment="1">
      <alignment horizontal="left" vertical="center" indent="1"/>
    </xf>
    <xf numFmtId="181" fontId="48" fillId="6" borderId="19" xfId="0" applyNumberFormat="1" applyFont="1" applyFill="1" applyBorder="1" applyAlignment="1">
      <alignment horizontal="right" vertical="center" indent="1"/>
    </xf>
    <xf numFmtId="0" fontId="17" fillId="0" borderId="0" xfId="0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181" fontId="49" fillId="0" borderId="0" xfId="0" applyNumberFormat="1" applyFont="1" applyAlignment="1">
      <alignment horizontal="right" vertical="center"/>
    </xf>
    <xf numFmtId="0" fontId="23" fillId="7" borderId="0" xfId="0" applyFont="1" applyFill="1" applyAlignment="1">
      <alignment horizontal="center" vertical="center"/>
    </xf>
    <xf numFmtId="0" fontId="23" fillId="7" borderId="0" xfId="0" applyFont="1" applyFill="1" applyAlignment="1">
      <alignment horizontal="left" vertical="center"/>
    </xf>
    <xf numFmtId="188" fontId="23" fillId="7" borderId="0" xfId="0" applyNumberFormat="1" applyFont="1" applyFill="1" applyAlignment="1">
      <alignment horizontal="left" vertical="center"/>
    </xf>
    <xf numFmtId="9" fontId="23" fillId="7" borderId="0" xfId="3" applyFont="1" applyFill="1" applyBorder="1" applyAlignment="1">
      <alignment horizontal="center" vertical="center"/>
    </xf>
    <xf numFmtId="188" fontId="23" fillId="7" borderId="0" xfId="0" applyNumberFormat="1" applyFont="1" applyFill="1" applyAlignment="1">
      <alignment horizontal="center" vertical="center"/>
    </xf>
    <xf numFmtId="193" fontId="23" fillId="7" borderId="0" xfId="0" applyNumberFormat="1" applyFont="1" applyFill="1" applyAlignment="1">
      <alignment horizontal="center" vertical="center"/>
    </xf>
    <xf numFmtId="0" fontId="50" fillId="8" borderId="1" xfId="0" applyFont="1" applyFill="1" applyBorder="1" applyAlignment="1">
      <alignment horizontal="center" vertical="center" wrapText="1"/>
    </xf>
    <xf numFmtId="1" fontId="51" fillId="6" borderId="1" xfId="0" applyNumberFormat="1" applyFont="1" applyFill="1" applyBorder="1" applyAlignment="1">
      <alignment horizontal="left" vertical="center" wrapText="1"/>
    </xf>
    <xf numFmtId="0" fontId="51" fillId="8" borderId="1" xfId="0" applyFont="1" applyFill="1" applyBorder="1" applyAlignment="1">
      <alignment horizontal="left" vertical="center"/>
    </xf>
    <xf numFmtId="190" fontId="51" fillId="8" borderId="1" xfId="0" applyNumberFormat="1" applyFont="1" applyFill="1" applyBorder="1" applyAlignment="1">
      <alignment horizontal="left" vertical="center"/>
    </xf>
    <xf numFmtId="9" fontId="51" fillId="8" borderId="1" xfId="3" applyFont="1" applyFill="1" applyBorder="1" applyAlignment="1">
      <alignment horizontal="center" vertical="center"/>
    </xf>
    <xf numFmtId="0" fontId="52" fillId="8" borderId="1" xfId="0" applyFont="1" applyFill="1" applyBorder="1" applyAlignment="1">
      <alignment horizontal="left" vertical="center" wrapText="1" indent="1"/>
    </xf>
    <xf numFmtId="0" fontId="50" fillId="0" borderId="2" xfId="0" applyFont="1" applyBorder="1" applyAlignment="1">
      <alignment horizontal="center" vertical="center" wrapText="1"/>
    </xf>
    <xf numFmtId="1" fontId="51" fillId="6" borderId="2" xfId="0" applyNumberFormat="1" applyFont="1" applyFill="1" applyBorder="1" applyAlignment="1">
      <alignment horizontal="left" vertical="center" wrapText="1"/>
    </xf>
    <xf numFmtId="0" fontId="51" fillId="0" borderId="2" xfId="0" applyFont="1" applyBorder="1" applyAlignment="1">
      <alignment horizontal="left" vertical="center"/>
    </xf>
    <xf numFmtId="0" fontId="51" fillId="9" borderId="2" xfId="0" applyFont="1" applyFill="1" applyBorder="1" applyAlignment="1">
      <alignment horizontal="left" vertical="center" wrapText="1"/>
    </xf>
    <xf numFmtId="0" fontId="51" fillId="9" borderId="2" xfId="0" applyFont="1" applyFill="1" applyBorder="1" applyAlignment="1">
      <alignment horizontal="left" vertical="center"/>
    </xf>
    <xf numFmtId="0" fontId="51" fillId="0" borderId="2" xfId="0" applyFont="1" applyBorder="1" applyAlignment="1">
      <alignment horizontal="left" vertical="center" wrapText="1"/>
    </xf>
    <xf numFmtId="0" fontId="51" fillId="0" borderId="6" xfId="0" applyFont="1" applyBorder="1" applyAlignment="1">
      <alignment horizontal="left" vertical="center" wrapText="1"/>
    </xf>
    <xf numFmtId="0" fontId="51" fillId="0" borderId="6" xfId="0" applyFont="1" applyBorder="1" applyAlignment="1">
      <alignment horizontal="left" vertical="center"/>
    </xf>
    <xf numFmtId="188" fontId="51" fillId="8" borderId="1" xfId="0" applyNumberFormat="1" applyFont="1" applyFill="1" applyBorder="1" applyAlignment="1">
      <alignment horizontal="left" vertical="center"/>
    </xf>
    <xf numFmtId="188" fontId="51" fillId="0" borderId="6" xfId="0" applyNumberFormat="1" applyFont="1" applyBorder="1" applyAlignment="1">
      <alignment horizontal="left" vertical="center"/>
    </xf>
    <xf numFmtId="0" fontId="52" fillId="0" borderId="6" xfId="0" applyFont="1" applyBorder="1" applyAlignment="1">
      <alignment horizontal="center" vertical="center" wrapText="1"/>
    </xf>
    <xf numFmtId="0" fontId="51" fillId="9" borderId="20" xfId="0" applyFont="1" applyFill="1" applyBorder="1" applyAlignment="1">
      <alignment horizontal="left" vertical="center"/>
    </xf>
    <xf numFmtId="188" fontId="51" fillId="9" borderId="20" xfId="0" applyNumberFormat="1" applyFont="1" applyFill="1" applyBorder="1" applyAlignment="1">
      <alignment horizontal="left" vertical="center"/>
    </xf>
    <xf numFmtId="0" fontId="53" fillId="9" borderId="20" xfId="0" applyFont="1" applyFill="1" applyBorder="1" applyAlignment="1">
      <alignment horizontal="left" vertical="center" wrapText="1"/>
    </xf>
    <xf numFmtId="0" fontId="54" fillId="8" borderId="17" xfId="0" applyFont="1" applyFill="1" applyBorder="1" applyAlignment="1">
      <alignment horizontal="left" vertical="center" wrapText="1"/>
    </xf>
    <xf numFmtId="0" fontId="54" fillId="8" borderId="17" xfId="0" applyFont="1" applyFill="1" applyBorder="1" applyAlignment="1">
      <alignment horizontal="left" vertical="center"/>
    </xf>
    <xf numFmtId="193" fontId="55" fillId="8" borderId="17" xfId="0" applyNumberFormat="1" applyFont="1" applyFill="1" applyBorder="1" applyAlignment="1">
      <alignment horizontal="left" vertical="center"/>
    </xf>
    <xf numFmtId="194" fontId="54" fillId="8" borderId="17" xfId="0" applyNumberFormat="1" applyFont="1" applyFill="1" applyBorder="1" applyAlignment="1">
      <alignment horizontal="center" vertical="center"/>
    </xf>
    <xf numFmtId="9" fontId="55" fillId="8" borderId="17" xfId="3" applyFont="1" applyFill="1" applyBorder="1" applyAlignment="1">
      <alignment horizontal="left" vertical="center"/>
    </xf>
    <xf numFmtId="0" fontId="56" fillId="8" borderId="17" xfId="0" applyFont="1" applyFill="1" applyBorder="1" applyAlignment="1">
      <alignment horizontal="center" vertical="center" wrapText="1"/>
    </xf>
    <xf numFmtId="0" fontId="40" fillId="9" borderId="0" xfId="0" applyFont="1" applyFill="1" applyAlignment="1">
      <alignment horizontal="left" vertical="center"/>
    </xf>
    <xf numFmtId="185" fontId="40" fillId="9" borderId="0" xfId="0" applyNumberFormat="1" applyFont="1" applyFill="1" applyAlignment="1">
      <alignment horizontal="left" vertical="center"/>
    </xf>
    <xf numFmtId="188" fontId="40" fillId="9" borderId="0" xfId="0" applyNumberFormat="1" applyFont="1" applyFill="1" applyAlignment="1">
      <alignment horizontal="right" vertical="center"/>
    </xf>
    <xf numFmtId="9" fontId="40" fillId="9" borderId="16" xfId="3" applyFont="1" applyFill="1" applyBorder="1" applyAlignment="1">
      <alignment horizontal="center" vertical="center"/>
    </xf>
    <xf numFmtId="193" fontId="40" fillId="9" borderId="16" xfId="0" applyNumberFormat="1" applyFont="1" applyFill="1" applyBorder="1" applyAlignment="1">
      <alignment horizontal="center" vertical="center"/>
    </xf>
    <xf numFmtId="0" fontId="57" fillId="9" borderId="16" xfId="0" applyFont="1" applyFill="1" applyBorder="1" applyAlignment="1">
      <alignment horizontal="center" vertical="center" wrapText="1"/>
    </xf>
    <xf numFmtId="193" fontId="57" fillId="0" borderId="0" xfId="0" applyNumberFormat="1" applyFont="1" applyAlignment="1">
      <alignment horizontal="left" vertical="center"/>
    </xf>
    <xf numFmtId="188" fontId="57" fillId="0" borderId="0" xfId="0" applyNumberFormat="1" applyFont="1" applyAlignment="1">
      <alignment horizontal="center" vertical="center"/>
    </xf>
    <xf numFmtId="195" fontId="17" fillId="0" borderId="18" xfId="3" applyNumberFormat="1" applyFont="1" applyFill="1" applyBorder="1" applyAlignment="1">
      <alignment horizontal="center" vertical="center"/>
    </xf>
    <xf numFmtId="190" fontId="17" fillId="0" borderId="2" xfId="0" applyNumberFormat="1" applyFont="1" applyBorder="1" applyAlignment="1">
      <alignment horizontal="right" vertical="center"/>
    </xf>
    <xf numFmtId="188" fontId="41" fillId="0" borderId="0" xfId="0" applyNumberFormat="1" applyFont="1" applyAlignment="1">
      <alignment horizontal="left" vertical="center"/>
    </xf>
    <xf numFmtId="188" fontId="17" fillId="0" borderId="2" xfId="0" applyNumberFormat="1" applyFont="1" applyBorder="1" applyAlignment="1">
      <alignment horizontal="right" vertical="center"/>
    </xf>
    <xf numFmtId="9" fontId="17" fillId="0" borderId="2" xfId="3" applyFont="1" applyFill="1" applyBorder="1" applyAlignment="1">
      <alignment horizontal="left" vertical="center" indent="1"/>
    </xf>
    <xf numFmtId="9" fontId="58" fillId="5" borderId="19" xfId="3" applyFont="1" applyFill="1" applyBorder="1" applyAlignment="1">
      <alignment horizontal="left" vertical="center" indent="1"/>
    </xf>
    <xf numFmtId="190" fontId="59" fillId="5" borderId="19" xfId="0" applyNumberFormat="1" applyFont="1" applyFill="1" applyBorder="1" applyAlignment="1">
      <alignment horizontal="center" vertical="center"/>
    </xf>
    <xf numFmtId="0" fontId="41" fillId="0" borderId="0" xfId="0" applyFont="1" applyAlignment="1">
      <alignment horizontal="left" vertical="center"/>
    </xf>
    <xf numFmtId="9" fontId="39" fillId="0" borderId="0" xfId="3" applyFont="1" applyBorder="1" applyAlignment="1">
      <alignment horizontal="center" vertical="center"/>
    </xf>
    <xf numFmtId="192" fontId="49" fillId="0" borderId="0" xfId="0" applyNumberFormat="1" applyFont="1" applyAlignment="1">
      <alignment horizontal="right" vertical="center"/>
    </xf>
    <xf numFmtId="0" fontId="40" fillId="10" borderId="0" xfId="0" applyFont="1" applyFill="1" applyAlignment="1">
      <alignment vertical="center"/>
    </xf>
    <xf numFmtId="183" fontId="45" fillId="0" borderId="0" xfId="0" applyNumberFormat="1" applyFont="1" applyAlignment="1" quotePrefix="1">
      <alignment horizontal="left" vertical="center"/>
    </xf>
    <xf numFmtId="183" fontId="8" fillId="0" borderId="0" xfId="0" applyNumberFormat="1" applyFont="1" applyAlignment="1" quotePrefix="1">
      <alignment horizontal="left" vertical="center" indent="4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6">
    <dxf>
      <font>
        <name val="Arial Narrow"/>
        <scheme val="none"/>
        <family val="2"/>
        <b val="1"/>
        <i val="0"/>
        <strike val="0"/>
        <u val="none"/>
        <sz val="10"/>
        <color theme="1"/>
      </font>
      <alignment horizontal="left" vertical="center"/>
      <border>
        <left/>
        <right style="thin">
          <color theme="2" tint="-0.899960325937681"/>
        </right>
        <top/>
        <bottom/>
      </border>
    </dxf>
    <dxf>
      <font>
        <name val="Arial Narrow"/>
        <scheme val="none"/>
        <family val="2"/>
        <b val="0"/>
        <i val="0"/>
        <strike val="0"/>
        <u val="none"/>
        <sz val="10"/>
        <color theme="1"/>
      </font>
      <numFmt numFmtId="0" formatCode="General"/>
      <fill>
        <patternFill patternType="none"/>
      </fill>
      <alignment horizontal="left" vertical="center"/>
      <border>
        <left style="thin">
          <color theme="2" tint="-0.899960325937681"/>
        </left>
        <right/>
        <top/>
        <bottom/>
      </border>
    </dxf>
    <dxf>
      <font>
        <name val="Arial Narrow"/>
        <scheme val="none"/>
        <family val="2"/>
        <b val="0"/>
        <i val="0"/>
        <strike val="0"/>
        <u val="none"/>
        <sz val="10"/>
        <color theme="1"/>
      </font>
      <alignment horizontal="left" vertical="center"/>
      <border>
        <left style="thin">
          <color theme="2" tint="-0.899960325937681"/>
        </left>
        <right/>
        <top/>
        <bottom/>
      </border>
    </dxf>
    <dxf>
      <font>
        <name val="Arial Narrow"/>
        <scheme val="none"/>
        <family val="2"/>
        <b val="0"/>
        <i val="0"/>
        <strike val="0"/>
        <u val="none"/>
        <sz val="10"/>
        <color theme="1"/>
      </font>
      <numFmt numFmtId="0" formatCode="General"/>
      <alignment horizontal="left" vertical="center"/>
    </dxf>
    <dxf>
      <font>
        <name val="Arial Narrow"/>
        <scheme val="none"/>
        <family val="2"/>
        <b val="0"/>
        <i val="0"/>
        <strike val="0"/>
        <u val="none"/>
        <sz val="10"/>
        <color theme="1"/>
      </font>
      <numFmt numFmtId="189" formatCode="0\ &quot;kg&quot;"/>
      <fill>
        <patternFill patternType="none"/>
      </fill>
      <alignment horizontal="left" vertical="center"/>
    </dxf>
    <dxf>
      <font>
        <name val="Arial Narrow"/>
        <scheme val="none"/>
        <family val="2"/>
        <b val="0"/>
        <i val="0"/>
        <strike val="0"/>
        <u val="none"/>
        <sz val="10"/>
        <color theme="1"/>
      </font>
      <numFmt numFmtId="186" formatCode="0\ &quot;KG&quot;"/>
      <fill>
        <patternFill patternType="none"/>
      </fill>
      <alignment horizontal="left" vertical="center"/>
    </dxf>
    <dxf>
      <font>
        <name val="Arial Narrow"/>
        <scheme val="none"/>
        <family val="2"/>
        <b val="0"/>
        <i val="0"/>
        <strike val="0"/>
        <u val="none"/>
        <sz val="10"/>
        <color theme="1"/>
      </font>
      <numFmt numFmtId="2" formatCode="0.00"/>
      <fill>
        <patternFill patternType="none"/>
      </fill>
      <alignment horizontal="left" vertical="center"/>
    </dxf>
    <dxf>
      <font>
        <name val="Arial Narrow"/>
        <scheme val="none"/>
        <family val="2"/>
        <b val="0"/>
        <i val="0"/>
        <strike val="0"/>
        <u val="none"/>
        <sz val="10"/>
        <color theme="1"/>
      </font>
      <numFmt numFmtId="187" formatCode="0.000"/>
      <fill>
        <patternFill patternType="none"/>
      </fill>
      <alignment horizontal="left" vertical="center"/>
      <border>
        <right style="thin">
          <color theme="2" tint="-0.899960325937681"/>
        </right>
      </border>
    </dxf>
    <dxf>
      <font>
        <name val="Arial Narrow"/>
        <scheme val="none"/>
        <family val="2"/>
        <b val="0"/>
        <i val="0"/>
        <strike val="0"/>
        <u val="none"/>
        <sz val="10"/>
        <color theme="1"/>
      </font>
      <numFmt numFmtId="182" formatCode="&quot;£&quot;#,##0.00"/>
      <fill>
        <patternFill patternType="none"/>
      </fill>
      <alignment horizontal="left" vertical="center"/>
      <border>
        <right style="thin">
          <color theme="2" tint="-0.899960325937681"/>
        </right>
      </border>
    </dxf>
    <dxf>
      <font>
        <name val="Arial Narrow"/>
        <scheme val="none"/>
        <family val="2"/>
        <b val="0"/>
        <i val="0"/>
        <strike val="0"/>
        <u val="none"/>
        <sz val="10"/>
        <color theme="1"/>
      </font>
      <numFmt numFmtId="188" formatCode="_-&quot;£&quot;* #,##0.00_-;\-&quot;£&quot;* #,##0.00_-;_-&quot;£&quot;* &quot;-&quot;??_-;_-@_-"/>
      <fill>
        <patternFill patternType="none"/>
      </fill>
      <alignment horizontal="left" vertical="center"/>
    </dxf>
    <dxf>
      <font>
        <name val="Arial Narrow"/>
        <scheme val="none"/>
        <family val="2"/>
        <strike val="0"/>
        <u val="none"/>
        <sz val="10"/>
        <color theme="1"/>
      </font>
      <numFmt numFmtId="188" formatCode="_-&quot;£&quot;* #,##0.00_-;\-&quot;£&quot;* #,##0.00_-;_-&quot;£&quot;* &quot;-&quot;??_-;_-@_-"/>
      <fill>
        <patternFill patternType="none"/>
      </fill>
      <alignment horizontal="left" vertical="center"/>
    </dxf>
    <dxf>
      <font>
        <name val="Arial Narrow"/>
        <scheme val="none"/>
        <family val="2"/>
        <strike val="0"/>
        <u val="none"/>
        <sz val="24"/>
        <color theme="1"/>
      </font>
      <numFmt numFmtId="184" formatCode="&quot;SI 0&quot;0"/>
      <alignment horizontal="left" vertical="center"/>
      <border>
        <left/>
        <right/>
        <top style="thin">
          <color theme="0" tint="-0.14996795556505"/>
        </top>
        <bottom style="thin">
          <color theme="0" tint="-0.14996795556505"/>
        </bottom>
      </border>
    </dxf>
    <dxf>
      <font>
        <name val="Arial Narrow"/>
        <scheme val="none"/>
        <family val="2"/>
        <strike val="0"/>
        <u val="none"/>
        <sz val="24"/>
        <color theme="1"/>
      </font>
      <alignment horizontal="center" vertical="center"/>
      <border>
        <left/>
        <right/>
        <top style="thin">
          <color theme="0" tint="-0.14996795556505"/>
        </top>
        <bottom style="thin">
          <color theme="0" tint="-0.14996795556505"/>
        </bottom>
      </border>
    </dxf>
    <dxf>
      <font>
        <name val="Arial Narrow"/>
        <scheme val="none"/>
        <family val="2"/>
        <strike val="0"/>
        <u val="none"/>
        <sz val="24"/>
        <color theme="1"/>
      </font>
      <alignment horizontal="left" vertical="center" wrapText="1"/>
      <border>
        <left/>
        <right/>
        <top style="thin">
          <color theme="0" tint="-0.14996795556505"/>
        </top>
        <bottom style="thin">
          <color theme="0" tint="-0.14996795556505"/>
        </bottom>
      </border>
    </dxf>
    <dxf>
      <font>
        <name val="Arial Narrow"/>
        <scheme val="none"/>
        <family val="2"/>
        <strike val="0"/>
        <u val="none"/>
        <sz val="24"/>
        <color theme="1"/>
      </font>
      <numFmt numFmtId="181" formatCode="[$-F800]dddd\,\ mmmm\ dd\,\ yyyy"/>
      <fill>
        <patternFill patternType="none"/>
      </fill>
      <alignment horizontal="center" vertical="center"/>
      <border>
        <left/>
        <right/>
        <top style="thin">
          <color theme="0" tint="-0.14996795556505"/>
        </top>
        <bottom style="thin">
          <color theme="0" tint="-0.14996795556505"/>
        </bottom>
      </border>
    </dxf>
    <dxf>
      <font>
        <name val="Arial Narrow"/>
        <scheme val="none"/>
        <family val="2"/>
        <i val="0"/>
        <strike val="0"/>
        <u val="none"/>
        <sz val="24"/>
        <color theme="1"/>
      </font>
      <numFmt numFmtId="182" formatCode="&quot;£&quot;#,##0.00"/>
      <fill>
        <patternFill patternType="none"/>
      </fill>
      <alignment horizontal="center" vertical="center"/>
      <border>
        <left/>
        <right/>
        <top style="thin">
          <color theme="0" tint="-0.14996795556505"/>
        </top>
        <bottom style="thin">
          <color theme="0" tint="-0.14996795556505"/>
        </bottom>
      </border>
    </dxf>
    <dxf>
      <font>
        <name val="Arial Narrow"/>
        <scheme val="none"/>
        <family val="2"/>
        <b val="0"/>
        <i val="0"/>
        <strike val="0"/>
        <u val="none"/>
        <sz val="24"/>
        <color theme="1"/>
      </font>
      <numFmt numFmtId="182" formatCode="&quot;£&quot;#,##0.00"/>
      <alignment horizontal="center" vertical="center"/>
      <border>
        <left/>
        <right/>
        <top style="thin">
          <color theme="0" tint="-0.14996795556505"/>
        </top>
        <bottom style="thin">
          <color theme="0" tint="-0.14996795556505"/>
        </bottom>
      </border>
    </dxf>
    <dxf>
      <font>
        <name val="Arial Narrow"/>
        <scheme val="none"/>
        <family val="2"/>
        <b val="0"/>
        <i val="0"/>
        <strike val="0"/>
        <u val="none"/>
        <sz val="24"/>
        <color theme="1"/>
      </font>
      <numFmt numFmtId="182" formatCode="&quot;£&quot;#,##0.00"/>
      <alignment horizontal="center" vertical="center"/>
      <border>
        <left/>
        <right/>
        <top style="thin">
          <color theme="0" tint="-0.14996795556505"/>
        </top>
        <bottom style="thin">
          <color theme="0" tint="-0.14996795556505"/>
        </bottom>
      </border>
    </dxf>
    <dxf>
      <font>
        <name val="Arial Narrow"/>
        <scheme val="none"/>
        <family val="2"/>
        <b val="0"/>
        <i val="0"/>
        <strike val="0"/>
        <u val="none"/>
        <sz val="24"/>
        <color theme="1"/>
      </font>
      <numFmt numFmtId="182" formatCode="&quot;£&quot;#,##0.00"/>
      <alignment horizontal="left" vertical="center"/>
      <border>
        <left/>
        <right/>
        <top style="thin">
          <color theme="0" tint="-0.14996795556505"/>
        </top>
        <bottom style="thin">
          <color theme="0" tint="-0.14996795556505"/>
        </bottom>
      </border>
    </dxf>
    <dxf>
      <font>
        <name val="Arial Narrow"/>
        <scheme val="none"/>
        <family val="2"/>
        <strike val="0"/>
        <u val="none"/>
        <sz val="24"/>
        <color theme="1"/>
      </font>
      <numFmt numFmtId="181" formatCode="[$-F800]dddd\,\ mmmm\ dd\,\ yyyy"/>
      <alignment horizontal="left"/>
      <border>
        <left/>
        <right/>
        <top style="thin">
          <color theme="0" tint="-0.14996795556505"/>
        </top>
        <bottom style="thin">
          <color theme="0" tint="-0.14996795556505"/>
        </bottom>
      </border>
    </dxf>
    <dxf>
      <font>
        <name val="Arial Narrow"/>
        <scheme val="none"/>
        <family val="2"/>
        <strike val="0"/>
        <u val="none"/>
        <sz val="24"/>
        <color theme="1"/>
      </font>
      <alignment horizontal="left"/>
      <border>
        <left/>
        <right/>
        <top style="thin">
          <color theme="0" tint="-0.14996795556505"/>
        </top>
        <bottom style="thin">
          <color theme="0" tint="-0.14996795556505"/>
        </bottom>
      </border>
    </dxf>
    <dxf>
      <font>
        <name val="Arial Narrow"/>
        <scheme val="none"/>
        <family val="2"/>
        <b val="0"/>
        <i val="0"/>
        <strike val="0"/>
        <u val="none"/>
        <sz val="24"/>
        <color theme="1"/>
      </font>
      <fill>
        <patternFill patternType="none"/>
      </fill>
      <alignment horizontal="left" vertical="center" indent="1"/>
      <border>
        <left/>
        <right/>
        <top style="thin">
          <color theme="0" tint="-0.14996795556505"/>
        </top>
        <bottom style="thin">
          <color theme="0" tint="-0.14996795556505"/>
        </bottom>
      </border>
    </dxf>
    <dxf>
      <font>
        <name val="Arial Narrow"/>
        <scheme val="none"/>
        <family val="2"/>
        <strike val="0"/>
        <u val="none"/>
        <sz val="24"/>
        <color theme="1"/>
      </font>
      <numFmt numFmtId="182" formatCode="&quot;£&quot;#,##0.00"/>
      <alignment horizontal="left" vertical="center" indent="1"/>
      <border>
        <left/>
        <right/>
        <top style="thin">
          <color theme="0" tint="-0.14996795556505"/>
        </top>
        <bottom style="thin">
          <color theme="0" tint="-0.14996795556505"/>
        </bottom>
      </border>
    </dxf>
    <dxf>
      <font>
        <name val="Arial Narrow"/>
        <scheme val="none"/>
        <family val="2"/>
        <strike val="0"/>
        <u val="none"/>
        <sz val="24"/>
        <color theme="1"/>
      </font>
      <alignment horizontal="left"/>
    </dxf>
    <dxf>
      <font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00E32827"/>
      <color rgb="008D8E8E"/>
      <color rgb="00262628"/>
      <color rgb="00065A98"/>
      <color rgb="000033CC"/>
      <color rgb="00DDE5FF"/>
      <color rgb="00C5D3FF"/>
      <color rgb="00B7C8FF"/>
      <color rgb="007D9CFF"/>
      <color rgb="00E5E6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3.xml"/><Relationship Id="rId7" Type="http://schemas.openxmlformats.org/officeDocument/2006/relationships/externalLink" Target="externalLinks/externalLink2.xml"/><Relationship Id="rId6" Type="http://schemas.openxmlformats.org/officeDocument/2006/relationships/externalLink" Target="externalLinks/externalLink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tyles" Target="styles.xml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6</xdr:col>
      <xdr:colOff>1206500</xdr:colOff>
      <xdr:row>1</xdr:row>
      <xdr:rowOff>0</xdr:rowOff>
    </xdr:from>
    <xdr:to>
      <xdr:col>8</xdr:col>
      <xdr:colOff>2152</xdr:colOff>
      <xdr:row>5</xdr:row>
      <xdr:rowOff>96526</xdr:rowOff>
    </xdr:to>
    <xdr:pic>
      <xdr:nvPicPr>
        <xdr:cNvPr id="6" name="Picture 5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215" y="161925"/>
          <a:ext cx="2565400" cy="1325245"/>
        </a:xfrm>
        <a:prstGeom prst="rect">
          <a:avLst/>
        </a:prstGeom>
      </xdr:spPr>
    </xdr:pic>
    <xdr:clientData/>
  </xdr:twoCellAnchor>
  <xdr:twoCellAnchor editAs="oneCell">
    <xdr:from>
      <xdr:col>2</xdr:col>
      <xdr:colOff>1601530</xdr:colOff>
      <xdr:row>31</xdr:row>
      <xdr:rowOff>132535</xdr:rowOff>
    </xdr:from>
    <xdr:to>
      <xdr:col>7</xdr:col>
      <xdr:colOff>686687</xdr:colOff>
      <xdr:row>36</xdr:row>
      <xdr:rowOff>131248</xdr:rowOff>
    </xdr:to>
    <xdr:pic>
      <xdr:nvPicPr>
        <xdr:cNvPr id="2" name="Picture 1" descr="A black and white logo&#10;&#10;Description automatically generated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2340610" y="11788140"/>
          <a:ext cx="5508625" cy="1042035"/>
        </a:xfrm>
        <a:prstGeom prst="rect">
          <a:avLst/>
        </a:prstGeom>
        <a:solidFill>
          <a:schemeClr val="bg1">
            <a:lumMod val="95000"/>
          </a:schemeClr>
        </a:solidFill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</xdr:col>
      <xdr:colOff>257175</xdr:colOff>
      <xdr:row>1</xdr:row>
      <xdr:rowOff>174625</xdr:rowOff>
    </xdr:from>
    <xdr:to>
      <xdr:col>3</xdr:col>
      <xdr:colOff>2774901</xdr:colOff>
      <xdr:row>4</xdr:row>
      <xdr:rowOff>412573</xdr:rowOff>
    </xdr:to>
    <xdr:pic>
      <xdr:nvPicPr>
        <xdr:cNvPr id="2" name="Picture 1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3595" y="373380"/>
          <a:ext cx="3953510" cy="209105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ttps:\\jetsteelcouk-my.sharepoint.com\QS%20Project%20Share\C1788%20-%2081%20Newgate%20Street\3.%20Variations\C1788%2081%20NGS%20Variation%20Regi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000%20Projects%20Live\Projects%20P24-\P24-1133%20Ballinrees%20WTW\16.%20Commercial\3.%20Variations\P24_1133%20WTW%20Ballinrees%20Variation%20Registe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ttps:\\jetsteelcouk-my.sharepoint.com\personal\andrew_jetsteel_co_uk\Documents\1.%20Project%20Portal\1.%20Quantity%20Surveying%20-%20Live%20Projects\016-CRE%20-%20Dub%2010\3.%20Variations\CRE_%20Variation%20Register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 "/>
      <sheetName val="Variation Register"/>
      <sheetName val="Daywork Tracker"/>
      <sheetName val="Daywork Pivot"/>
      <sheetName val="V91 Tracker"/>
      <sheetName val="V91_Input"/>
      <sheetName val="Admin"/>
      <sheetName val="Site Works Register"/>
      <sheetName val="Daywork Rates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"/>
      <sheetName val="Daywork Rates"/>
      <sheetName val="Daywork_Tracker"/>
    </sheetNames>
    <sheetDataSet>
      <sheetData sheetId="0"/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"/>
      <sheetName val="Daywork_Tracker"/>
      <sheetName val="Dayworks_Pivot"/>
      <sheetName val="Drawing Office VO Tracker"/>
      <sheetName val="Daywork Rates"/>
      <sheetName val="Admin.Input"/>
      <sheetName val="Drawing Register"/>
      <sheetName val="ENG Drg. Reg"/>
      <sheetName val="CRE_ Variation Register"/>
    </sheetNames>
    <sheetDataSet>
      <sheetData sheetId="0"/>
      <sheetData sheetId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8" refreshedVersion="8" minRefreshableVersion="3" refreshedDate="45566.3908100694" refreshedBy="Andrew Thompson" recordCount="43">
  <cacheSource type="worksheet">
    <worksheetSource name="Table18"/>
  </cacheSource>
  <cacheFields count="11">
    <cacheField name="Ref " numFmtId="0"/>
    <cacheField name="Item" numFmtId="0"/>
    <cacheField name="Cat" numFmtId="0">
      <sharedItems containsBlank="1" count="4">
        <m/>
        <s v="Steel"/>
        <s v="Cold Rolled"/>
        <s v="Fittings" u="1"/>
      </sharedItems>
    </cacheField>
    <cacheField name="Type" numFmtId="0"/>
    <cacheField name="Zone" numFmtId="189">
      <sharedItems containsBlank="1" count="4">
        <m/>
        <s v="Unit 2"/>
        <s v="Unit 3"/>
        <s v=""/>
      </sharedItems>
    </cacheField>
    <cacheField name="ACW" numFmtId="186"/>
    <cacheField name="Pcs" numFmtId="0"/>
    <cacheField name="QTY" numFmtId="187"/>
    <cacheField name="Unit" numFmtId="182"/>
    <cacheField name="Rate " numFmtId="188"/>
    <cacheField name="Total " numFmtId="188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m/>
    <m/>
    <x v="0"/>
    <m/>
    <x v="0"/>
    <m/>
    <m/>
    <m/>
    <m/>
    <m/>
    <m/>
  </r>
  <r>
    <m/>
    <s v="Steelwork Supply &amp; Install"/>
    <x v="0"/>
    <m/>
    <x v="0"/>
    <m/>
    <m/>
    <m/>
    <m/>
    <m/>
    <m/>
  </r>
  <r>
    <n v="1"/>
    <s v="CHS139.7*5.0"/>
    <x v="1"/>
    <s v="Beam"/>
    <x v="1"/>
    <n v="108.66"/>
    <n v="2"/>
    <n v="0.21731999999999999"/>
    <s v="tonne"/>
    <n v="3400"/>
    <n v="738.88799999999992"/>
  </r>
  <r>
    <n v="2"/>
    <s v="PFC-200*90*30"/>
    <x v="1"/>
    <s v="Beam"/>
    <x v="1"/>
    <n v="146.98899999999995"/>
    <n v="40"/>
    <n v="5.8795599999999979"/>
    <s v="tonne"/>
    <n v="2375"/>
    <n v="13963.954999999994"/>
  </r>
  <r>
    <n v="3"/>
    <s v="SHS140*140*5.0"/>
    <x v="1"/>
    <s v="Beam"/>
    <x v="1"/>
    <n v="140.97166666666669"/>
    <n v="6"/>
    <n v="0.84583000000000008"/>
    <s v="tonne"/>
    <n v="2975"/>
    <n v="2516.3442500000001"/>
  </r>
  <r>
    <n v="4"/>
    <s v="SHS160*160*6.3"/>
    <x v="1"/>
    <s v="Beam"/>
    <x v="1"/>
    <n v="138.36499999999998"/>
    <n v="2"/>
    <n v="0.27672999999999998"/>
    <s v="tonne"/>
    <n v="3450"/>
    <n v="954.71849999999995"/>
  </r>
  <r>
    <n v="5"/>
    <s v="SHS200*200*8.0"/>
    <x v="1"/>
    <s v="Beam"/>
    <x v="1"/>
    <n v="303.93"/>
    <n v="2"/>
    <n v="0.60786000000000007"/>
    <s v="tonne"/>
    <n v="2450"/>
    <n v="1489.2570000000001"/>
  </r>
  <r>
    <n v="6"/>
    <s v="UB203*133*25"/>
    <x v="1"/>
    <s v="Beam"/>
    <x v="1"/>
    <n v="136.92571428571429"/>
    <n v="7"/>
    <n v="0.95848"/>
    <s v="tonne"/>
    <n v="2675"/>
    <n v="2563.9340000000002"/>
  </r>
  <r>
    <n v="7"/>
    <s v="UB457*152*52"/>
    <x v="1"/>
    <s v="Beam"/>
    <x v="1"/>
    <n v="572.56600000000003"/>
    <n v="10"/>
    <n v="5.7256600000000004"/>
    <s v="tonne"/>
    <n v="1600"/>
    <n v="9161.0560000000005"/>
  </r>
  <r>
    <n v="8"/>
    <s v="CHS114.3*5.0"/>
    <x v="1"/>
    <s v="Bracing"/>
    <x v="1"/>
    <n v="101.13083333333334"/>
    <n v="12"/>
    <n v="1.21357"/>
    <s v="tonne"/>
    <n v="3475"/>
    <n v="4217.1557499999999"/>
  </r>
  <r>
    <n v="9"/>
    <s v="CHS139.7*5.0"/>
    <x v="1"/>
    <s v="Bracing"/>
    <x v="1"/>
    <n v="110.155"/>
    <n v="2"/>
    <n v="0.22031000000000001"/>
    <s v="tonne"/>
    <n v="3375"/>
    <n v="743.54624999999999"/>
  </r>
  <r>
    <n v="10"/>
    <s v="CHS168.3*5.0"/>
    <x v="1"/>
    <s v="Bracing"/>
    <x v="1"/>
    <n v="159.8775"/>
    <n v="4"/>
    <n v="0.63951000000000002"/>
    <s v="tonne"/>
    <n v="2950"/>
    <n v="1886.5545"/>
  </r>
  <r>
    <n v="11"/>
    <s v="PFC-200*90*30"/>
    <x v="1"/>
    <s v="Column"/>
    <x v="1"/>
    <n v="230.9242857142857"/>
    <n v="14"/>
    <n v="3.2329399999999997"/>
    <s v="tonne"/>
    <n v="1875"/>
    <n v="6061.7624999999998"/>
  </r>
  <r>
    <n v="12"/>
    <s v="UB203*133*25"/>
    <x v="1"/>
    <s v="Column"/>
    <x v="1"/>
    <n v="44.524999999999999"/>
    <n v="18"/>
    <n v="0.80145"/>
    <s v="tonne"/>
    <n v="4600"/>
    <n v="3686.67"/>
  </r>
  <r>
    <n v="13"/>
    <s v="UB356*171*45"/>
    <x v="1"/>
    <s v="Column"/>
    <x v="1"/>
    <n v="398.72250000000003"/>
    <n v="8"/>
    <n v="3.1897800000000003"/>
    <s v="tonne"/>
    <n v="1700"/>
    <n v="5422.6260000000002"/>
  </r>
  <r>
    <n v="14"/>
    <s v="UB457*152*67"/>
    <x v="1"/>
    <s v="Column"/>
    <x v="1"/>
    <n v="605.13166666666677"/>
    <n v="6"/>
    <n v="3.6307900000000002"/>
    <s v="tonne"/>
    <n v="1600"/>
    <n v="5809.2640000000001"/>
  </r>
  <r>
    <n v="15"/>
    <s v="UB356*127*33"/>
    <x v="1"/>
    <s v="Purlin"/>
    <x v="1"/>
    <n v="138.45750000000001"/>
    <n v="4"/>
    <n v="0.55383000000000004"/>
    <s v="tonne"/>
    <n v="3075"/>
    <n v="1703.0272500000001"/>
  </r>
  <r>
    <n v="16"/>
    <s v="CHS139.7*5.0"/>
    <x v="1"/>
    <s v="Beam"/>
    <x v="2"/>
    <n v="109.07166666666666"/>
    <n v="6"/>
    <n v="0.65442999999999996"/>
    <s v="tonne"/>
    <n v="3400"/>
    <n v="2225.0619999999999"/>
  </r>
  <r>
    <n v="17"/>
    <s v="PFC-200*75*23"/>
    <x v="1"/>
    <s v="Beam"/>
    <x v="2"/>
    <n v="156.34409090909091"/>
    <n v="22"/>
    <n v="3.4395699999999998"/>
    <s v="tonne"/>
    <n v="2225"/>
    <n v="7653.0432499999997"/>
  </r>
  <r>
    <n v="18"/>
    <s v="PFC-200*90*30"/>
    <x v="1"/>
    <s v="Beam"/>
    <x v="2"/>
    <n v="197.6340909090909"/>
    <n v="22"/>
    <n v="4.34795"/>
    <s v="tonne"/>
    <n v="2025"/>
    <n v="8804.5987499999992"/>
  </r>
  <r>
    <n v="19"/>
    <s v="SHS160*160*5.0"/>
    <x v="1"/>
    <s v="Beam"/>
    <x v="2"/>
    <n v="194.68"/>
    <n v="8"/>
    <n v="1.5574400000000002"/>
    <s v="tonne"/>
    <n v="2775"/>
    <n v="4321.8960000000006"/>
  </r>
  <r>
    <n v="20"/>
    <s v="SHS200*200*8.0"/>
    <x v="1"/>
    <s v="Beam"/>
    <x v="2"/>
    <n v="346.88499999999999"/>
    <n v="2"/>
    <n v="0.69377"/>
    <s v="tonne"/>
    <n v="2325"/>
    <n v="1613.0152499999999"/>
  </r>
  <r>
    <n v="21"/>
    <s v="UB203*133*25"/>
    <x v="1"/>
    <s v="Beam"/>
    <x v="2"/>
    <n v="144.977"/>
    <n v="10"/>
    <n v="1.44977"/>
    <s v="tonne"/>
    <n v="2575"/>
    <n v="3733.1577499999999"/>
  </r>
  <r>
    <n v="22"/>
    <s v="UB305*165*46"/>
    <x v="1"/>
    <s v="Beam"/>
    <x v="2"/>
    <n v="345.964"/>
    <n v="20"/>
    <n v="6.9192799999999997"/>
    <s v="tonne"/>
    <n v="1800"/>
    <n v="12454.704"/>
  </r>
  <r>
    <n v="23"/>
    <s v="UB533*210*82"/>
    <x v="1"/>
    <s v="Beam"/>
    <x v="2"/>
    <n v="1372.1863636363637"/>
    <n v="11"/>
    <n v="15.094049999999999"/>
    <s v="tonne"/>
    <n v="1250"/>
    <n v="18867.5625"/>
  </r>
  <r>
    <n v="24"/>
    <s v="CHS114.3*5.0"/>
    <x v="1"/>
    <s v="Bracing"/>
    <x v="2"/>
    <n v="102.87535714285713"/>
    <n v="28"/>
    <n v="2.8805099999999997"/>
    <s v="tonne"/>
    <n v="3450"/>
    <n v="9937.7594999999983"/>
  </r>
  <r>
    <n v="25"/>
    <s v="CHS139.7*5.0"/>
    <x v="1"/>
    <s v="Bracing"/>
    <x v="2"/>
    <n v="109.795"/>
    <n v="2"/>
    <n v="0.21959000000000001"/>
    <s v="tonne"/>
    <n v="3375"/>
    <n v="741.11625000000004"/>
  </r>
  <r>
    <n v="26"/>
    <s v="CHS168.3*5.0"/>
    <x v="1"/>
    <s v="Bracing"/>
    <x v="2"/>
    <n v="179.215"/>
    <n v="4"/>
    <n v="0.71686000000000005"/>
    <s v="tonne"/>
    <n v="2800"/>
    <n v="2007.2080000000001"/>
  </r>
  <r>
    <n v="27"/>
    <s v="SHS300*300*16.0"/>
    <x v="1"/>
    <s v="Column"/>
    <x v="2"/>
    <n v="906.44"/>
    <n v="1"/>
    <n v="0.90644000000000002"/>
    <s v="tonne"/>
    <n v="2150"/>
    <n v="1948.846"/>
  </r>
  <r>
    <n v="28"/>
    <s v="UB203*133*25"/>
    <x v="1"/>
    <s v="Column"/>
    <x v="2"/>
    <n v="49.411818181818177"/>
    <n v="22"/>
    <n v="1.0870599999999999"/>
    <s v="tonne"/>
    <n v="4900"/>
    <n v="5326.5939999999991"/>
  </r>
  <r>
    <n v="29"/>
    <s v="UB356*171*45"/>
    <x v="1"/>
    <s v="Column"/>
    <x v="2"/>
    <n v="440.97818181818178"/>
    <n v="11"/>
    <n v="4.8507599999999993"/>
    <s v="tonne"/>
    <n v="1625"/>
    <n v="7882.4849999999988"/>
  </r>
  <r>
    <n v="30"/>
    <s v="UB686*254*125"/>
    <x v="1"/>
    <s v="Column"/>
    <x v="2"/>
    <n v="1192.8340000000001"/>
    <n v="10"/>
    <n v="11.92834"/>
    <s v="tonne"/>
    <n v="1575"/>
    <n v="18787.1355"/>
  </r>
  <r>
    <n v="31"/>
    <s v="PFC-200*75*23"/>
    <x v="1"/>
    <s v="Door Frame"/>
    <x v="2"/>
    <n v="53.317500000000003"/>
    <n v="4"/>
    <n v="0.21327000000000002"/>
    <s v="tonne"/>
    <n v="3350"/>
    <n v="714.45450000000005"/>
  </r>
  <r>
    <n v="32"/>
    <s v="PFC-200*90*30"/>
    <x v="1"/>
    <s v="Door Frame"/>
    <x v="2"/>
    <n v="229.80875000000003"/>
    <n v="24"/>
    <n v="5.515410000000001"/>
    <s v="tonne"/>
    <n v="1875"/>
    <n v="10341.393750000001"/>
  </r>
  <r>
    <n v="33"/>
    <s v="Fittings"/>
    <x v="1"/>
    <m/>
    <x v="1"/>
    <m/>
    <m/>
    <n v="3"/>
    <s v="tonne"/>
    <n v="1650"/>
    <n v="4950"/>
  </r>
  <r>
    <n v="34"/>
    <s v="Fittings"/>
    <x v="1"/>
    <m/>
    <x v="2"/>
    <m/>
    <m/>
    <n v="6"/>
    <s v="tonne"/>
    <n v="1650"/>
    <n v="9900"/>
  </r>
  <r>
    <m/>
    <s v="Cold Rolled Supply &amp; Install"/>
    <x v="0"/>
    <m/>
    <x v="3"/>
    <m/>
    <m/>
    <m/>
    <m/>
    <m/>
    <m/>
  </r>
  <r>
    <n v="35"/>
    <s v="202 C 18"/>
    <x v="2"/>
    <s v="Purlin"/>
    <x v="1"/>
    <m/>
    <m/>
    <n v="820"/>
    <s v="m"/>
    <n v="15.25"/>
    <n v="12505"/>
  </r>
  <r>
    <n v="36"/>
    <s v="232 Z 16"/>
    <x v="2"/>
    <s v="Purlin"/>
    <x v="1"/>
    <m/>
    <m/>
    <n v="440"/>
    <s v="m"/>
    <n v="15.5"/>
    <n v="6820"/>
  </r>
  <r>
    <n v="37"/>
    <s v="232 Z 23"/>
    <x v="2"/>
    <s v="Purlin"/>
    <x v="2"/>
    <m/>
    <m/>
    <n v="320"/>
    <s v="m"/>
    <n v="20.5"/>
    <n v="6560"/>
  </r>
  <r>
    <n v="38"/>
    <s v="232 Z 18"/>
    <x v="2"/>
    <s v="Purlin"/>
    <x v="2"/>
    <m/>
    <m/>
    <n v="1080"/>
    <s v="m"/>
    <n v="16.75"/>
    <n v="18090"/>
  </r>
  <r>
    <n v="39"/>
    <s v="232 Z 16"/>
    <x v="2"/>
    <s v="Purlin"/>
    <x v="2"/>
    <m/>
    <m/>
    <n v="1160"/>
    <s v="m"/>
    <n v="15.5"/>
    <n v="17980"/>
  </r>
  <r>
    <m/>
    <m/>
    <x v="0"/>
    <m/>
    <x v="0"/>
    <m/>
    <m/>
    <m/>
    <m/>
    <s v="Total:"/>
    <n v="255083.790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utoFormatId="1" applyNumberFormats="0" applyBorderFormats="0" applyFontFormats="0" applyPatternFormats="0" applyAlignmentFormats="0" applyWidthHeightFormats="1" dataCaption="Values" updatedVersion="8" minRefreshableVersion="3" createdVersion="8" useAutoFormatting="1" indent="0" outline="1" outlineData="1" showDrill="1" multipleFieldFilters="0">
  <location ref="M4:N11" firstHeaderRow="1" firstDataRow="1" firstDataCol="1"/>
  <pivotFields count="11">
    <pivotField showAll="0"/>
    <pivotField showAll="0"/>
    <pivotField axis="axisRow" showAll="0">
      <items count="5">
        <item x="2"/>
        <item x="1"/>
        <item h="1" x="0"/>
        <item m="1" x="3"/>
        <item t="default"/>
      </items>
    </pivotField>
    <pivotField showAll="0"/>
    <pivotField axis="axisRow" showAll="0">
      <items count="5">
        <item x="3"/>
        <item x="1"/>
        <item x="2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</pivotFields>
  <rowFields count="2">
    <field x="4"/>
    <field x="2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Items count="1">
    <i/>
  </colItems>
  <dataFields count="1">
    <dataField name="Sum of QTY" fld="7" baseField="0" baseItem="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Table18" displayName="Table18" ref="A2:K45" totalsRowShown="0">
  <autoFilter xmlns:etc="http://www.wps.cn/officeDocument/2017/etCustomData" ref="A2:K45" etc:filterBottomFollowUsedRange="0"/>
  <tableColumns count="11">
    <tableColumn id="1" name="Ref " dataDxfId="0"/>
    <tableColumn id="2" name="Item" dataDxfId="1"/>
    <tableColumn id="13" name="Cat" dataDxfId="2"/>
    <tableColumn id="9" name="Type" dataDxfId="3"/>
    <tableColumn id="3" name="Zone" dataDxfId="4">
      <calculatedColumnFormula>Table18[[#This Row],[Pcs]]/Table18[[#This Row],[ACW]]*1000</calculatedColumnFormula>
    </tableColumn>
    <tableColumn id="4" name="ACW" dataDxfId="5"/>
    <tableColumn id="5" name="Pcs" dataDxfId="6">
      <calculatedColumnFormula>_xlfn.XLOOKUP(Table18[[#This Row],[Item]],#REF!,#REF!)</calculatedColumnFormula>
    </tableColumn>
    <tableColumn id="6" name="QTY" dataDxfId="7"/>
    <tableColumn id="7" name="Unit" dataDxfId="8">
      <calculatedColumnFormula>IF(Table18[[#This Row],[Rate ]]="","",Table18[[#This Row],[Rate ]]/Table18[[#This Row],[Pcs]])</calculatedColumnFormula>
    </tableColumn>
    <tableColumn id="8" name="Rate " dataDxfId="9">
      <calculatedColumnFormula>_xlfn.XLOOKUP(Table18[[#This Row],[Item]],#REF!,#REF!)</calculatedColumnFormula>
    </tableColumn>
    <tableColumn id="10" name="Total " dataDxfId="1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4" name="Table14" displayName="Table14" ref="B13:N89" totalsRowShown="0">
  <autoFilter xmlns:etc="http://www.wps.cn/officeDocument/2017/etCustomData" ref="B13:N89" etc:filterBottomFollowUsedRange="0"/>
  <tableColumns count="13">
    <tableColumn id="1" name="Client Ref" dataDxfId="11"/>
    <tableColumn id="2" name=" VO" dataDxfId="12"/>
    <tableColumn id="3" name="Description" dataDxfId="13"/>
    <tableColumn id="4" name="Submission " dataDxfId="14"/>
    <tableColumn id="5" name="Value £" dataDxfId="15"/>
    <tableColumn id="16" name="Dayworks  " dataDxfId="16"/>
    <tableColumn id="13" name="Daywork Total" dataDxfId="17"/>
    <tableColumn id="14" name="Status" dataDxfId="18"/>
    <tableColumn id="7" name="Date Agreed" dataDxfId="19"/>
    <tableColumn id="8" name="Notes" dataDxfId="20"/>
    <tableColumn id="6" name="Progress %" dataDxfId="21"/>
    <tableColumn id="17" name="Progress £" dataDxfId="22">
      <calculatedColumnFormula>IF(Table14[[#This Row],[Progress %]]="","",Table14[[#This Row],[Progress %]]*Table14[[#This Row],[Value £]])</calculatedColumnFormula>
    </tableColumn>
    <tableColumn id="18" name="Progress Notes" dataDxfId="2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theme="0" tint="-0.249977111117893"/>
    <pageSetUpPr fitToPage="1"/>
  </sheetPr>
  <dimension ref="B2:R41"/>
  <sheetViews>
    <sheetView showGridLines="0" view="pageBreakPreview" zoomScale="86" zoomScaleNormal="86" workbookViewId="0">
      <selection activeCell="C11" sqref="C11"/>
    </sheetView>
  </sheetViews>
  <sheetFormatPr defaultColWidth="8.81904761904762" defaultRowHeight="12.75"/>
  <cols>
    <col min="1" max="1" width="2.26666666666667" style="148" customWidth="1"/>
    <col min="2" max="2" width="8.81904761904762" style="148" customWidth="1"/>
    <col min="3" max="3" width="24.2666666666667" style="145" customWidth="1"/>
    <col min="4" max="4" width="17.2666666666667" style="145" customWidth="1"/>
    <col min="5" max="5" width="19.2666666666667" style="149" customWidth="1"/>
    <col min="6" max="6" width="15.8190476190476" style="150" customWidth="1"/>
    <col min="7" max="7" width="19.7238095238095" style="151" customWidth="1"/>
    <col min="8" max="8" width="36.8190476190476" style="148" customWidth="1"/>
    <col min="9" max="9" width="1.26666666666667" style="148" customWidth="1"/>
    <col min="10" max="10" width="1.45714285714286" style="148" customWidth="1"/>
    <col min="11" max="11" width="0.819047619047619" style="148" customWidth="1"/>
    <col min="12" max="12" width="8.81904761904762" style="148" customWidth="1"/>
    <col min="13" max="16384" width="8.81904761904762" style="148"/>
  </cols>
  <sheetData>
    <row r="2" s="143" customFormat="1" ht="34.5" customHeight="1" spans="2:8">
      <c r="B2" s="152" t="s">
        <v>0</v>
      </c>
      <c r="C2" s="153"/>
      <c r="D2" s="153"/>
      <c r="E2" s="153"/>
      <c r="F2" s="153"/>
      <c r="G2" s="153"/>
      <c r="H2" s="153"/>
    </row>
    <row r="3" s="144" customFormat="1" ht="24.75" customHeight="1" spans="2:5">
      <c r="B3" s="154" t="s">
        <v>1</v>
      </c>
      <c r="E3" s="155"/>
    </row>
    <row r="4" s="145" customFormat="1" ht="18.75" customHeight="1" spans="2:5">
      <c r="B4" s="156" t="s">
        <v>2</v>
      </c>
      <c r="E4" s="149"/>
    </row>
    <row r="5" s="145" customFormat="1" ht="18.75" customHeight="1" spans="2:5">
      <c r="B5" s="231" t="s">
        <v>3</v>
      </c>
      <c r="C5" s="157"/>
      <c r="E5" s="149"/>
    </row>
    <row r="6" s="145" customFormat="1" ht="18.75" customHeight="1" spans="2:8">
      <c r="B6" s="158" t="s">
        <v>4</v>
      </c>
      <c r="C6" s="159"/>
      <c r="D6" s="159"/>
      <c r="E6" s="160"/>
      <c r="F6" s="159"/>
      <c r="G6" s="159"/>
      <c r="H6" s="159"/>
    </row>
    <row r="7" s="144" customFormat="1" ht="13.5" customHeight="1" spans="2:5">
      <c r="B7" s="161"/>
      <c r="E7" s="155"/>
    </row>
    <row r="8" ht="25.15" customHeight="1" spans="2:9">
      <c r="B8" s="162" t="s">
        <v>5</v>
      </c>
      <c r="C8" s="162"/>
      <c r="D8" s="163"/>
      <c r="E8" s="164"/>
      <c r="F8" s="165" t="s">
        <v>6</v>
      </c>
      <c r="G8" s="165"/>
      <c r="H8" s="166" t="s">
        <v>7</v>
      </c>
      <c r="I8" s="179"/>
    </row>
    <row r="9" s="146" customFormat="1" ht="25.15" customHeight="1" spans="2:9">
      <c r="B9" s="167" t="s">
        <v>8</v>
      </c>
      <c r="C9" s="167"/>
      <c r="D9" s="167"/>
      <c r="E9" s="168"/>
      <c r="F9" s="169" t="s">
        <v>9</v>
      </c>
      <c r="G9" s="169"/>
      <c r="H9" s="170">
        <v>1</v>
      </c>
      <c r="I9" s="229"/>
    </row>
    <row r="10" s="146" customFormat="1" ht="25.15" customHeight="1" spans="2:9">
      <c r="B10" s="167" t="s">
        <v>10</v>
      </c>
      <c r="C10" s="171"/>
      <c r="D10" s="171"/>
      <c r="E10" s="168"/>
      <c r="F10" s="169" t="s">
        <v>11</v>
      </c>
      <c r="G10" s="169"/>
      <c r="H10" s="172">
        <v>45565</v>
      </c>
      <c r="I10" s="179"/>
    </row>
    <row r="11" s="146" customFormat="1" ht="25.15" customHeight="1" spans="2:9">
      <c r="B11" s="167" t="s">
        <v>12</v>
      </c>
      <c r="C11" s="171"/>
      <c r="D11" s="171"/>
      <c r="E11" s="168"/>
      <c r="F11" s="169" t="s">
        <v>13</v>
      </c>
      <c r="G11" s="169"/>
      <c r="H11" s="172"/>
      <c r="I11" s="179"/>
    </row>
    <row r="12" s="146" customFormat="1" ht="25.15" customHeight="1" spans="2:13">
      <c r="B12" s="173"/>
      <c r="C12" s="174"/>
      <c r="D12" s="174"/>
      <c r="E12" s="168"/>
      <c r="F12" s="175" t="s">
        <v>14</v>
      </c>
      <c r="G12" s="175"/>
      <c r="H12" s="176">
        <f>H10+30</f>
        <v>45595</v>
      </c>
      <c r="I12" s="179"/>
      <c r="M12" s="230"/>
    </row>
    <row r="13" s="146" customFormat="1" ht="19.9" customHeight="1" spans="2:13">
      <c r="B13" s="177"/>
      <c r="D13" s="178"/>
      <c r="E13" s="168"/>
      <c r="F13" s="177"/>
      <c r="G13" s="177"/>
      <c r="H13" s="179"/>
      <c r="I13" s="179"/>
      <c r="M13" s="230"/>
    </row>
    <row r="14" s="146" customFormat="1" ht="40.15" customHeight="1" spans="2:9">
      <c r="B14" s="180" t="s">
        <v>15</v>
      </c>
      <c r="C14" s="181" t="s">
        <v>16</v>
      </c>
      <c r="D14" s="181" t="s">
        <v>17</v>
      </c>
      <c r="E14" s="182" t="s">
        <v>18</v>
      </c>
      <c r="F14" s="183" t="s">
        <v>19</v>
      </c>
      <c r="G14" s="184" t="s">
        <v>20</v>
      </c>
      <c r="H14" s="185" t="s">
        <v>21</v>
      </c>
      <c r="I14" s="185"/>
    </row>
    <row r="15" s="146" customFormat="1" ht="39.75" customHeight="1" spans="2:9">
      <c r="B15" s="186"/>
      <c r="C15" s="187"/>
      <c r="D15" s="188"/>
      <c r="E15" s="189"/>
      <c r="F15" s="190"/>
      <c r="G15" s="189"/>
      <c r="H15" s="191"/>
      <c r="I15" s="191"/>
    </row>
    <row r="16" s="146" customFormat="1" ht="39.75" customHeight="1" spans="2:9">
      <c r="B16" s="192"/>
      <c r="C16" s="193"/>
      <c r="D16" s="194"/>
      <c r="E16" s="189"/>
      <c r="F16" s="190"/>
      <c r="G16" s="189"/>
      <c r="H16" s="191"/>
      <c r="I16" s="191"/>
    </row>
    <row r="17" s="146" customFormat="1" ht="39.75" customHeight="1" spans="2:9">
      <c r="B17" s="192"/>
      <c r="C17" s="195"/>
      <c r="D17" s="196"/>
      <c r="E17" s="189"/>
      <c r="F17" s="190"/>
      <c r="G17" s="189"/>
      <c r="H17" s="191"/>
      <c r="I17" s="191"/>
    </row>
    <row r="18" s="146" customFormat="1" ht="39.75" customHeight="1" spans="2:9">
      <c r="B18" s="192" t="str">
        <f t="shared" ref="B17:B23" si="0">IF(C18="","",B17+1)</f>
        <v/>
      </c>
      <c r="C18" s="197"/>
      <c r="D18" s="194"/>
      <c r="E18" s="189"/>
      <c r="F18" s="190"/>
      <c r="G18" s="189"/>
      <c r="H18" s="191"/>
      <c r="I18" s="191"/>
    </row>
    <row r="19" s="146" customFormat="1" ht="39.75" customHeight="1" spans="2:9">
      <c r="B19" s="192" t="str">
        <f t="shared" si="0"/>
        <v/>
      </c>
      <c r="C19" s="198"/>
      <c r="D19" s="199"/>
      <c r="E19" s="189"/>
      <c r="F19" s="190"/>
      <c r="G19" s="189"/>
      <c r="H19" s="191"/>
      <c r="I19" s="202"/>
    </row>
    <row r="20" s="146" customFormat="1" ht="39.75" customHeight="1" spans="2:9">
      <c r="B20" s="192" t="str">
        <f t="shared" si="0"/>
        <v/>
      </c>
      <c r="C20" s="198"/>
      <c r="D20" s="199"/>
      <c r="E20" s="200"/>
      <c r="F20" s="190"/>
      <c r="G20" s="200"/>
      <c r="H20" s="191"/>
      <c r="I20" s="202"/>
    </row>
    <row r="21" s="146" customFormat="1" ht="39.75" customHeight="1" spans="2:9">
      <c r="B21" s="192" t="str">
        <f t="shared" si="0"/>
        <v/>
      </c>
      <c r="C21" s="198"/>
      <c r="D21" s="199"/>
      <c r="E21" s="201"/>
      <c r="F21" s="190"/>
      <c r="G21" s="201"/>
      <c r="H21" s="202"/>
      <c r="I21" s="202"/>
    </row>
    <row r="22" s="146" customFormat="1" ht="39.75" customHeight="1" spans="2:9">
      <c r="B22" s="192" t="str">
        <f t="shared" si="0"/>
        <v/>
      </c>
      <c r="C22" s="198"/>
      <c r="D22" s="199"/>
      <c r="E22" s="201"/>
      <c r="F22" s="190"/>
      <c r="G22" s="201"/>
      <c r="H22" s="202"/>
      <c r="I22" s="202"/>
    </row>
    <row r="23" s="146" customFormat="1" ht="39.75" customHeight="1" spans="2:9">
      <c r="B23" s="192" t="str">
        <f t="shared" si="0"/>
        <v/>
      </c>
      <c r="C23" s="203"/>
      <c r="D23" s="203"/>
      <c r="E23" s="204"/>
      <c r="F23" s="190"/>
      <c r="G23" s="204"/>
      <c r="H23" s="205"/>
      <c r="I23" s="205"/>
    </row>
    <row r="24" s="147" customFormat="1" ht="40.5" customHeight="1" spans="2:9">
      <c r="B24" s="206"/>
      <c r="C24" s="207"/>
      <c r="D24" s="208" t="s">
        <v>18</v>
      </c>
      <c r="E24" s="209">
        <f>SUM(E12:E23)</f>
        <v>0</v>
      </c>
      <c r="F24" s="210" t="s">
        <v>22</v>
      </c>
      <c r="G24" s="209">
        <f>SUM(G12:G23)</f>
        <v>0</v>
      </c>
      <c r="H24" s="211"/>
      <c r="I24" s="211"/>
    </row>
    <row r="25" s="146" customFormat="1" ht="15" customHeight="1" spans="2:9">
      <c r="B25" s="212"/>
      <c r="C25" s="212"/>
      <c r="D25" s="213"/>
      <c r="E25" s="214"/>
      <c r="F25" s="215"/>
      <c r="G25" s="216"/>
      <c r="H25" s="217"/>
      <c r="I25" s="217"/>
    </row>
    <row r="26" s="147" customFormat="1" ht="30" customHeight="1" spans="2:9">
      <c r="B26" s="178"/>
      <c r="C26" s="178"/>
      <c r="D26" s="218"/>
      <c r="E26" s="219"/>
      <c r="F26" s="165" t="s">
        <v>23</v>
      </c>
      <c r="G26" s="165"/>
      <c r="H26" s="220" t="e">
        <f>G24/E24</f>
        <v>#DIV/0!</v>
      </c>
      <c r="I26" s="220"/>
    </row>
    <row r="27" s="147" customFormat="1" ht="30" customHeight="1" spans="2:18">
      <c r="B27" s="178"/>
      <c r="C27" s="178"/>
      <c r="D27" s="218"/>
      <c r="E27" s="219"/>
      <c r="F27" s="169" t="s">
        <v>22</v>
      </c>
      <c r="G27" s="169"/>
      <c r="H27" s="221">
        <f>G24</f>
        <v>0</v>
      </c>
      <c r="I27" s="221"/>
      <c r="R27" s="147" t="s">
        <v>24</v>
      </c>
    </row>
    <row r="28" s="147" customFormat="1" ht="30" customHeight="1" spans="2:9">
      <c r="B28" s="178"/>
      <c r="C28" s="178"/>
      <c r="D28" s="178"/>
      <c r="E28" s="222"/>
      <c r="F28" s="169" t="s">
        <v>25</v>
      </c>
      <c r="G28" s="169"/>
      <c r="H28" s="223">
        <f>-G24*0%</f>
        <v>0</v>
      </c>
      <c r="I28" s="223"/>
    </row>
    <row r="29" s="147" customFormat="1" ht="30" customHeight="1" spans="4:9">
      <c r="D29" s="178"/>
      <c r="E29" s="149"/>
      <c r="F29" s="224" t="s">
        <v>26</v>
      </c>
      <c r="G29" s="224"/>
      <c r="H29" s="223">
        <v>0</v>
      </c>
      <c r="I29" s="223"/>
    </row>
    <row r="30" s="147" customFormat="1" ht="30" customHeight="1" spans="4:9">
      <c r="D30" s="178"/>
      <c r="E30" s="149"/>
      <c r="F30" s="225" t="s">
        <v>27</v>
      </c>
      <c r="G30" s="225"/>
      <c r="H30" s="226">
        <f>SUM(H27:H29)</f>
        <v>0</v>
      </c>
      <c r="I30" s="226"/>
    </row>
    <row r="31" s="146" customFormat="1" ht="27" customHeight="1" spans="4:5">
      <c r="D31" s="227"/>
      <c r="E31" s="149"/>
    </row>
    <row r="32" s="146" customFormat="1" ht="27" customHeight="1" spans="4:5">
      <c r="D32" s="178"/>
      <c r="E32" s="149"/>
    </row>
    <row r="33" s="146" customFormat="1" ht="16.9" customHeight="1" spans="5:17">
      <c r="E33" s="149"/>
      <c r="F33" s="150"/>
      <c r="G33" s="151"/>
      <c r="H33" s="148"/>
      <c r="I33" s="148"/>
      <c r="Q33" s="146" t="s">
        <v>24</v>
      </c>
    </row>
    <row r="34" s="146" customFormat="1" spans="3:9">
      <c r="C34" s="178"/>
      <c r="D34" s="178"/>
      <c r="E34" s="149"/>
      <c r="F34" s="150"/>
      <c r="G34" s="151"/>
      <c r="H34" s="148"/>
      <c r="I34" s="148"/>
    </row>
    <row r="35" spans="2:10">
      <c r="B35" s="146"/>
      <c r="C35" s="178"/>
      <c r="D35" s="178"/>
      <c r="F35" s="228"/>
      <c r="J35" s="148" t="s">
        <v>24</v>
      </c>
    </row>
    <row r="36" spans="6:6">
      <c r="F36" s="228"/>
    </row>
    <row r="37" spans="6:6">
      <c r="F37" s="228"/>
    </row>
    <row r="38" spans="6:6">
      <c r="F38" s="228"/>
    </row>
    <row r="39" spans="6:6">
      <c r="F39" s="228"/>
    </row>
    <row r="40" spans="6:6">
      <c r="F40" s="228"/>
    </row>
    <row r="41" spans="6:6">
      <c r="F41" s="228"/>
    </row>
  </sheetData>
  <mergeCells count="16">
    <mergeCell ref="B2:H2"/>
    <mergeCell ref="B5:C5"/>
    <mergeCell ref="B8:C8"/>
    <mergeCell ref="H14:I14"/>
    <mergeCell ref="H15:I15"/>
    <mergeCell ref="H16:I16"/>
    <mergeCell ref="H17:I17"/>
    <mergeCell ref="H18:I18"/>
    <mergeCell ref="H23:I23"/>
    <mergeCell ref="H24:I24"/>
    <mergeCell ref="H25:I25"/>
    <mergeCell ref="H26:I26"/>
    <mergeCell ref="H27:I27"/>
    <mergeCell ref="H28:I28"/>
    <mergeCell ref="H29:I29"/>
    <mergeCell ref="H30:I30"/>
  </mergeCells>
  <printOptions horizontalCentered="1"/>
  <pageMargins left="0.25" right="0.25" top="0.75" bottom="0.75" header="0.3" footer="0.3"/>
  <pageSetup paperSize="1" scale="67" orientation="portrait"/>
  <headerFooter>
    <oddFooter>&amp;L
&amp;1#&amp;"Calibri"&amp;10&amp;K000000 Classification: Official</oddFooter>
  </headerFooter>
  <rowBreaks count="1" manualBreakCount="1">
    <brk id="41" max="10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0" tint="-0.249977111117893"/>
    <pageSetUpPr fitToPage="1"/>
  </sheetPr>
  <dimension ref="B2:O13"/>
  <sheetViews>
    <sheetView showGridLines="0" view="pageBreakPreview" zoomScale="90" zoomScaleNormal="100" workbookViewId="0">
      <selection activeCell="A9" sqref="$A9:$XFD9"/>
    </sheetView>
  </sheetViews>
  <sheetFormatPr defaultColWidth="9.18095238095238" defaultRowHeight="16.5"/>
  <cols>
    <col min="1" max="1" width="3.45714285714286" style="118" customWidth="1"/>
    <col min="2" max="2" width="19.9047619047619" style="119" customWidth="1"/>
    <col min="3" max="3" width="16.8190476190476" style="119" customWidth="1"/>
    <col min="4" max="5" width="16.8190476190476" style="118" customWidth="1"/>
    <col min="6" max="6" width="16.8190476190476" style="120" customWidth="1"/>
    <col min="7" max="7" width="16.8190476190476" style="121" customWidth="1"/>
    <col min="8" max="8" width="16.8190476190476" style="122" customWidth="1"/>
    <col min="9" max="9" width="16.8190476190476" style="121" customWidth="1"/>
    <col min="10" max="10" width="24.1809523809524" style="121" customWidth="1"/>
    <col min="11" max="11" width="5.81904761904762" style="118" customWidth="1"/>
    <col min="12" max="12" width="9.18095238095238" style="118"/>
    <col min="13" max="13" width="13.7238095238095" style="118" hidden="1" customWidth="1"/>
    <col min="14" max="15" width="9.18095238095238" style="118"/>
    <col min="16" max="16" width="16.8190476190476" style="118" customWidth="1"/>
    <col min="17" max="16384" width="9.18095238095238" style="118"/>
  </cols>
  <sheetData>
    <row r="2" ht="24.75" customHeight="1" spans="2:10">
      <c r="B2" s="123" t="s">
        <v>28</v>
      </c>
      <c r="C2" s="123"/>
      <c r="D2" s="123"/>
      <c r="E2" s="123"/>
      <c r="F2" s="124"/>
      <c r="G2" s="123"/>
      <c r="H2" s="123"/>
      <c r="I2" s="123"/>
      <c r="J2" s="123"/>
    </row>
    <row r="4" ht="29.25" customHeight="1" spans="2:10">
      <c r="B4" s="125" t="s">
        <v>29</v>
      </c>
      <c r="C4" s="125" t="s">
        <v>17</v>
      </c>
      <c r="D4" s="126" t="s">
        <v>30</v>
      </c>
      <c r="E4" s="126" t="s">
        <v>31</v>
      </c>
      <c r="F4" s="127" t="s">
        <v>32</v>
      </c>
      <c r="G4" s="128" t="s">
        <v>33</v>
      </c>
      <c r="H4" s="129" t="s">
        <v>34</v>
      </c>
      <c r="I4" s="128" t="s">
        <v>35</v>
      </c>
      <c r="J4" s="128" t="s">
        <v>36</v>
      </c>
    </row>
    <row r="5" ht="29.25" customHeight="1" spans="2:15">
      <c r="B5" s="130"/>
      <c r="C5" s="131"/>
      <c r="D5" s="132"/>
      <c r="E5" s="133"/>
      <c r="F5" s="134"/>
      <c r="G5" s="135"/>
      <c r="H5" s="136"/>
      <c r="I5" s="141"/>
      <c r="J5" s="141"/>
      <c r="O5" s="142"/>
    </row>
    <row r="6" ht="29.25" customHeight="1" spans="2:15">
      <c r="B6" s="130"/>
      <c r="C6" s="131"/>
      <c r="D6" s="132"/>
      <c r="E6" s="133"/>
      <c r="F6" s="134"/>
      <c r="G6" s="135"/>
      <c r="H6" s="136"/>
      <c r="I6" s="141"/>
      <c r="J6" s="141"/>
      <c r="O6" s="142"/>
    </row>
    <row r="7" ht="29.25" customHeight="1" spans="2:15">
      <c r="B7" s="130"/>
      <c r="C7" s="131"/>
      <c r="D7" s="132"/>
      <c r="E7" s="133"/>
      <c r="F7" s="134"/>
      <c r="G7" s="135"/>
      <c r="H7" s="136"/>
      <c r="I7" s="141"/>
      <c r="J7" s="141"/>
      <c r="O7" s="142"/>
    </row>
    <row r="8" ht="29.25" customHeight="1" spans="2:15">
      <c r="B8" s="130"/>
      <c r="C8" s="131"/>
      <c r="D8" s="132"/>
      <c r="E8" s="133"/>
      <c r="F8" s="134"/>
      <c r="G8" s="135"/>
      <c r="H8" s="136"/>
      <c r="I8" s="141"/>
      <c r="J8" s="141"/>
      <c r="O8" s="142"/>
    </row>
    <row r="9" s="117" customFormat="1" ht="27" customHeight="1" spans="2:10">
      <c r="B9" s="137"/>
      <c r="C9" s="137"/>
      <c r="D9" s="137"/>
      <c r="E9" s="137"/>
      <c r="F9" s="138"/>
      <c r="G9" s="139"/>
      <c r="H9" s="140"/>
      <c r="I9" s="139"/>
      <c r="J9" s="139"/>
    </row>
    <row r="10" spans="7:7">
      <c r="G10" s="121" t="s">
        <v>24</v>
      </c>
    </row>
    <row r="13" spans="4:4">
      <c r="D13" s="118" t="s">
        <v>24</v>
      </c>
    </row>
  </sheetData>
  <pageMargins left="0.7" right="0.7" top="0.75" bottom="0.75" header="0.3" footer="0.3"/>
  <pageSetup paperSize="9" scale="5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theme="0" tint="-0.249977111117893"/>
    <pageSetUpPr fitToPage="1"/>
  </sheetPr>
  <dimension ref="A2:BE45"/>
  <sheetViews>
    <sheetView showGridLines="0" tabSelected="1" view="pageBreakPreview" zoomScale="80" zoomScaleNormal="100" topLeftCell="A22" workbookViewId="0">
      <selection activeCell="L38" sqref="L38"/>
    </sheetView>
  </sheetViews>
  <sheetFormatPr defaultColWidth="8.81904761904762" defaultRowHeight="15"/>
  <cols>
    <col min="1" max="1" width="10.4571428571429" style="78" customWidth="1"/>
    <col min="2" max="2" width="23.1809523809524" style="79" customWidth="1"/>
    <col min="3" max="3" width="13.4571428571429" style="80" customWidth="1"/>
    <col min="4" max="4" width="11.4571428571429" style="80" customWidth="1"/>
    <col min="5" max="5" width="11.5428571428571" style="80" customWidth="1"/>
    <col min="6" max="6" width="11.5428571428571" style="81" customWidth="1"/>
    <col min="7" max="7" width="8.62857142857143" style="80" customWidth="1"/>
    <col min="8" max="8" width="9.45714285714286" style="82" customWidth="1"/>
    <col min="9" max="9" width="9.18095238095238" style="83" customWidth="1"/>
    <col min="10" max="10" width="11.7238095238095" style="84" customWidth="1"/>
    <col min="11" max="11" width="13.0857142857143" style="84" customWidth="1"/>
    <col min="12" max="12" width="24.8190476190476" customWidth="1"/>
    <col min="13" max="13" width="14.2666666666667" hidden="1" customWidth="1"/>
    <col min="14" max="14" width="11.2666666666667" hidden="1" customWidth="1"/>
    <col min="15" max="15" width="20.4571428571429" style="85" hidden="1" customWidth="1"/>
    <col min="16" max="20" width="8.81904761904762" style="79" hidden="1" customWidth="1"/>
    <col min="21" max="16384" width="8.81904761904762" style="79"/>
  </cols>
  <sheetData>
    <row r="2" s="75" customFormat="1" ht="26.5" customHeight="1" spans="1:15">
      <c r="A2" s="86" t="s">
        <v>37</v>
      </c>
      <c r="B2" s="87" t="s">
        <v>29</v>
      </c>
      <c r="C2" s="87" t="s">
        <v>38</v>
      </c>
      <c r="D2" s="87" t="s">
        <v>39</v>
      </c>
      <c r="E2" s="87" t="s">
        <v>17</v>
      </c>
      <c r="F2" s="88" t="s">
        <v>40</v>
      </c>
      <c r="G2" s="89" t="s">
        <v>41</v>
      </c>
      <c r="H2" s="89" t="s">
        <v>30</v>
      </c>
      <c r="I2" s="103" t="s">
        <v>42</v>
      </c>
      <c r="J2" s="104" t="s">
        <v>43</v>
      </c>
      <c r="K2" s="104" t="s">
        <v>44</v>
      </c>
      <c r="O2" s="105"/>
    </row>
    <row r="3" s="76" customFormat="1" ht="10.5" customHeight="1" spans="1:57">
      <c r="A3" s="90"/>
      <c r="B3" s="91"/>
      <c r="C3" s="91"/>
      <c r="D3" s="91"/>
      <c r="E3" s="92"/>
      <c r="F3" s="93"/>
      <c r="G3" s="94"/>
      <c r="H3" s="94"/>
      <c r="I3" s="106"/>
      <c r="J3" s="107"/>
      <c r="K3" s="107"/>
      <c r="BE3" s="115" t="s">
        <v>45</v>
      </c>
    </row>
    <row r="4" s="76" customFormat="1" ht="33" customHeight="1" spans="1:57">
      <c r="A4" s="90"/>
      <c r="B4" s="95" t="s">
        <v>46</v>
      </c>
      <c r="C4" s="91"/>
      <c r="D4" s="91"/>
      <c r="E4" s="92"/>
      <c r="F4" s="93"/>
      <c r="G4" s="94"/>
      <c r="H4" s="94"/>
      <c r="I4" s="106"/>
      <c r="J4" s="107"/>
      <c r="K4" s="107"/>
      <c r="M4" t="s">
        <v>47</v>
      </c>
      <c r="N4" t="s">
        <v>48</v>
      </c>
      <c r="O4"/>
      <c r="BE4" s="115" t="s">
        <v>49</v>
      </c>
    </row>
    <row r="5" s="76" customFormat="1" ht="33" customHeight="1" spans="1:57">
      <c r="A5" s="90"/>
      <c r="B5" s="91"/>
      <c r="C5" s="91"/>
      <c r="D5" s="91"/>
      <c r="E5" s="92"/>
      <c r="F5" s="93"/>
      <c r="G5" s="96"/>
      <c r="H5" s="94"/>
      <c r="I5" s="106"/>
      <c r="J5" s="107"/>
      <c r="K5" s="107"/>
      <c r="M5" s="108" t="s">
        <v>50</v>
      </c>
      <c r="N5">
        <v>1290.99362</v>
      </c>
      <c r="O5"/>
      <c r="BE5" s="115" t="s">
        <v>51</v>
      </c>
    </row>
    <row r="6" s="76" customFormat="1" ht="33" customHeight="1" spans="1:57">
      <c r="A6" s="90"/>
      <c r="B6" s="91"/>
      <c r="C6" s="91"/>
      <c r="D6" s="91"/>
      <c r="E6" s="92"/>
      <c r="F6" s="93"/>
      <c r="G6" s="96"/>
      <c r="H6" s="94"/>
      <c r="I6" s="106"/>
      <c r="J6" s="107"/>
      <c r="K6" s="107"/>
      <c r="M6" s="109" t="s">
        <v>52</v>
      </c>
      <c r="N6">
        <v>1260</v>
      </c>
      <c r="O6"/>
      <c r="BE6" s="115" t="s">
        <v>53</v>
      </c>
    </row>
    <row r="7" s="76" customFormat="1" ht="33" customHeight="1" spans="1:57">
      <c r="A7" s="90"/>
      <c r="B7" s="91"/>
      <c r="C7" s="91"/>
      <c r="D7" s="91"/>
      <c r="E7" s="92"/>
      <c r="F7" s="93"/>
      <c r="G7" s="96"/>
      <c r="H7" s="94"/>
      <c r="I7" s="106"/>
      <c r="J7" s="107"/>
      <c r="K7" s="107"/>
      <c r="M7" s="109" t="s">
        <v>54</v>
      </c>
      <c r="N7">
        <v>30.99362</v>
      </c>
      <c r="O7">
        <f ca="1">GETPIVOTDATA("QTY",$M$4,"Cat","Steel","Zone","Unit 2")*0.1</f>
        <v>3.099362</v>
      </c>
      <c r="BE7" s="115"/>
    </row>
    <row r="8" s="76" customFormat="1" ht="33" customHeight="1" spans="1:57">
      <c r="A8" s="90"/>
      <c r="B8" s="91"/>
      <c r="C8" s="91"/>
      <c r="D8" s="91"/>
      <c r="E8" s="92"/>
      <c r="F8" s="93"/>
      <c r="G8" s="96"/>
      <c r="H8" s="94"/>
      <c r="I8" s="106"/>
      <c r="J8" s="107"/>
      <c r="K8" s="107"/>
      <c r="M8" s="108" t="s">
        <v>55</v>
      </c>
      <c r="N8">
        <v>2628.4745</v>
      </c>
      <c r="O8"/>
      <c r="BE8" s="115"/>
    </row>
    <row r="9" s="76" customFormat="1" ht="33" customHeight="1" spans="1:57">
      <c r="A9" s="90"/>
      <c r="B9" s="91"/>
      <c r="C9" s="91"/>
      <c r="D9" s="91"/>
      <c r="E9" s="92"/>
      <c r="F9" s="93"/>
      <c r="G9" s="96"/>
      <c r="H9" s="94"/>
      <c r="I9" s="106"/>
      <c r="J9" s="107"/>
      <c r="K9" s="107"/>
      <c r="M9" s="109" t="s">
        <v>52</v>
      </c>
      <c r="N9">
        <v>2560</v>
      </c>
      <c r="O9"/>
      <c r="BE9" s="115"/>
    </row>
    <row r="10" s="76" customFormat="1" ht="33" customHeight="1" spans="1:57">
      <c r="A10" s="90"/>
      <c r="B10" s="91"/>
      <c r="C10" s="91"/>
      <c r="D10" s="91"/>
      <c r="E10" s="92"/>
      <c r="F10" s="93"/>
      <c r="G10" s="96"/>
      <c r="H10" s="94"/>
      <c r="I10" s="106"/>
      <c r="J10" s="107"/>
      <c r="K10" s="107"/>
      <c r="M10" s="109" t="s">
        <v>54</v>
      </c>
      <c r="N10">
        <v>68.4745</v>
      </c>
      <c r="O10"/>
      <c r="BE10" s="115"/>
    </row>
    <row r="11" s="76" customFormat="1" ht="33" customHeight="1" spans="1:57">
      <c r="A11" s="90"/>
      <c r="B11" s="91"/>
      <c r="C11" s="91"/>
      <c r="D11" s="91"/>
      <c r="E11" s="92"/>
      <c r="F11" s="93"/>
      <c r="G11" s="96"/>
      <c r="H11" s="94"/>
      <c r="I11" s="106"/>
      <c r="J11" s="107"/>
      <c r="K11" s="107"/>
      <c r="M11" s="108" t="s">
        <v>56</v>
      </c>
      <c r="N11">
        <v>3919.46812</v>
      </c>
      <c r="O11">
        <f ca="1">GETPIVOTDATA("QTY",$M$4,"Cat","Steel","Zone","Unit 3")*0.1</f>
        <v>6.84745</v>
      </c>
      <c r="BE11" s="115"/>
    </row>
    <row r="12" s="76" customFormat="1" ht="33" customHeight="1" spans="1:57">
      <c r="A12" s="90"/>
      <c r="B12" s="91"/>
      <c r="C12" s="91"/>
      <c r="D12" s="91"/>
      <c r="E12" s="92"/>
      <c r="F12" s="93"/>
      <c r="G12" s="96"/>
      <c r="H12" s="94"/>
      <c r="I12" s="106"/>
      <c r="J12" s="107"/>
      <c r="K12" s="107"/>
      <c r="M12"/>
      <c r="N12"/>
      <c r="O12"/>
      <c r="BE12" s="115"/>
    </row>
    <row r="13" s="76" customFormat="1" ht="33" customHeight="1" spans="1:57">
      <c r="A13" s="90"/>
      <c r="B13" s="91"/>
      <c r="C13" s="91"/>
      <c r="D13" s="91"/>
      <c r="E13" s="92"/>
      <c r="F13" s="93"/>
      <c r="G13" s="96"/>
      <c r="H13" s="94"/>
      <c r="I13" s="106"/>
      <c r="J13" s="107"/>
      <c r="K13" s="107"/>
      <c r="M13"/>
      <c r="N13"/>
      <c r="O13"/>
      <c r="BE13" s="115"/>
    </row>
    <row r="14" s="76" customFormat="1" ht="33" customHeight="1" spans="1:57">
      <c r="A14" s="90"/>
      <c r="B14" s="91"/>
      <c r="C14" s="91"/>
      <c r="D14" s="91"/>
      <c r="E14" s="92"/>
      <c r="F14" s="93"/>
      <c r="G14" s="96"/>
      <c r="H14" s="94"/>
      <c r="I14" s="106"/>
      <c r="J14" s="107"/>
      <c r="K14" s="107"/>
      <c r="M14"/>
      <c r="N14"/>
      <c r="O14"/>
      <c r="BE14" s="115"/>
    </row>
    <row r="15" s="76" customFormat="1" ht="33" customHeight="1" spans="1:57">
      <c r="A15" s="90"/>
      <c r="B15" s="91"/>
      <c r="C15" s="91"/>
      <c r="D15" s="91"/>
      <c r="E15" s="92"/>
      <c r="F15" s="93"/>
      <c r="G15" s="96"/>
      <c r="H15" s="94"/>
      <c r="I15" s="106"/>
      <c r="J15" s="107"/>
      <c r="K15" s="107"/>
      <c r="M15"/>
      <c r="N15"/>
      <c r="O15"/>
      <c r="BE15" s="115"/>
    </row>
    <row r="16" s="76" customFormat="1" ht="33" customHeight="1" spans="1:57">
      <c r="A16" s="90"/>
      <c r="B16" s="91"/>
      <c r="C16" s="91"/>
      <c r="D16" s="91"/>
      <c r="E16" s="92"/>
      <c r="F16" s="93"/>
      <c r="G16" s="96"/>
      <c r="H16" s="94"/>
      <c r="I16" s="106"/>
      <c r="J16" s="107"/>
      <c r="K16" s="107"/>
      <c r="M16"/>
      <c r="N16"/>
      <c r="O16"/>
      <c r="BE16" s="115"/>
    </row>
    <row r="17" s="76" customFormat="1" ht="33" customHeight="1" spans="1:57">
      <c r="A17" s="90"/>
      <c r="B17" s="91"/>
      <c r="C17" s="91"/>
      <c r="D17" s="91"/>
      <c r="E17" s="92"/>
      <c r="F17" s="93"/>
      <c r="G17" s="96"/>
      <c r="H17" s="94"/>
      <c r="I17" s="106"/>
      <c r="J17" s="107"/>
      <c r="K17" s="107"/>
      <c r="L17"/>
      <c r="M17"/>
      <c r="N17"/>
      <c r="O17"/>
      <c r="BE17" s="115"/>
    </row>
    <row r="18" s="76" customFormat="1" ht="33" customHeight="1" spans="1:57">
      <c r="A18" s="90"/>
      <c r="B18" s="91"/>
      <c r="C18" s="91"/>
      <c r="D18" s="91"/>
      <c r="E18" s="92"/>
      <c r="F18" s="93"/>
      <c r="G18" s="96"/>
      <c r="H18" s="94"/>
      <c r="I18" s="106"/>
      <c r="J18" s="107"/>
      <c r="K18" s="107"/>
      <c r="L18"/>
      <c r="M18"/>
      <c r="N18"/>
      <c r="O18"/>
      <c r="BE18" s="115"/>
    </row>
    <row r="19" s="76" customFormat="1" ht="33" customHeight="1" spans="1:57">
      <c r="A19" s="90"/>
      <c r="B19" s="91"/>
      <c r="C19" s="91"/>
      <c r="D19" s="91"/>
      <c r="E19" s="92"/>
      <c r="F19" s="93"/>
      <c r="G19" s="96"/>
      <c r="H19" s="94"/>
      <c r="I19" s="106"/>
      <c r="J19" s="107"/>
      <c r="K19" s="107"/>
      <c r="L19"/>
      <c r="M19"/>
      <c r="N19"/>
      <c r="O19"/>
      <c r="BE19" s="115"/>
    </row>
    <row r="20" s="76" customFormat="1" ht="33" customHeight="1" spans="1:57">
      <c r="A20" s="90"/>
      <c r="B20" s="91"/>
      <c r="C20" s="91"/>
      <c r="D20" s="91"/>
      <c r="E20" s="92"/>
      <c r="F20" s="93"/>
      <c r="G20" s="96"/>
      <c r="H20" s="94"/>
      <c r="I20" s="106"/>
      <c r="J20" s="107"/>
      <c r="K20" s="107"/>
      <c r="L20"/>
      <c r="M20"/>
      <c r="N20"/>
      <c r="O20"/>
      <c r="BE20" s="115"/>
    </row>
    <row r="21" s="76" customFormat="1" ht="33" customHeight="1" spans="1:57">
      <c r="A21" s="90"/>
      <c r="B21" s="91"/>
      <c r="C21" s="91"/>
      <c r="D21" s="91"/>
      <c r="E21" s="92"/>
      <c r="F21" s="93"/>
      <c r="G21" s="96"/>
      <c r="H21" s="94"/>
      <c r="I21" s="106"/>
      <c r="J21" s="107"/>
      <c r="K21" s="107"/>
      <c r="M21"/>
      <c r="N21"/>
      <c r="O21"/>
      <c r="BE21" s="115"/>
    </row>
    <row r="22" s="76" customFormat="1" ht="33" customHeight="1" spans="1:57">
      <c r="A22" s="90"/>
      <c r="B22" s="91"/>
      <c r="C22" s="91"/>
      <c r="D22" s="91"/>
      <c r="E22" s="92"/>
      <c r="F22" s="93"/>
      <c r="G22" s="96"/>
      <c r="H22" s="94"/>
      <c r="I22" s="106"/>
      <c r="J22" s="107"/>
      <c r="K22" s="107"/>
      <c r="M22" s="110"/>
      <c r="N22" s="111"/>
      <c r="O22" s="85"/>
      <c r="BE22" s="115"/>
    </row>
    <row r="23" s="76" customFormat="1" ht="33" customHeight="1" spans="1:57">
      <c r="A23" s="90"/>
      <c r="B23" s="91"/>
      <c r="C23" s="91"/>
      <c r="D23" s="91"/>
      <c r="E23" s="92"/>
      <c r="F23" s="93"/>
      <c r="G23" s="96"/>
      <c r="H23" s="94"/>
      <c r="I23" s="106"/>
      <c r="J23" s="107"/>
      <c r="K23" s="107"/>
      <c r="O23" s="85"/>
      <c r="BE23" s="115"/>
    </row>
    <row r="24" s="76" customFormat="1" ht="33" customHeight="1" spans="1:57">
      <c r="A24" s="90"/>
      <c r="B24" s="91"/>
      <c r="C24" s="91"/>
      <c r="D24" s="91"/>
      <c r="E24" s="92"/>
      <c r="F24" s="93"/>
      <c r="G24" s="96"/>
      <c r="H24" s="94"/>
      <c r="I24" s="106"/>
      <c r="J24" s="107"/>
      <c r="K24" s="107"/>
      <c r="O24" s="85"/>
      <c r="BE24" s="115"/>
    </row>
    <row r="25" s="76" customFormat="1" ht="33" customHeight="1" spans="1:57">
      <c r="A25" s="90"/>
      <c r="B25" s="91"/>
      <c r="C25" s="91"/>
      <c r="D25" s="91"/>
      <c r="E25" s="92"/>
      <c r="F25" s="93"/>
      <c r="G25" s="96"/>
      <c r="H25" s="94"/>
      <c r="I25" s="106"/>
      <c r="J25" s="107"/>
      <c r="K25" s="107"/>
      <c r="O25" s="85"/>
      <c r="BE25" s="115"/>
    </row>
    <row r="26" s="76" customFormat="1" ht="33" customHeight="1" spans="1:57">
      <c r="A26" s="90"/>
      <c r="B26" s="91"/>
      <c r="C26" s="91"/>
      <c r="D26" s="91"/>
      <c r="E26" s="92"/>
      <c r="F26" s="93"/>
      <c r="G26" s="96"/>
      <c r="H26" s="94"/>
      <c r="I26" s="106"/>
      <c r="J26" s="107"/>
      <c r="K26" s="107"/>
      <c r="O26" s="85"/>
      <c r="BE26" s="115"/>
    </row>
    <row r="27" s="76" customFormat="1" ht="33" customHeight="1" spans="1:57">
      <c r="A27" s="90"/>
      <c r="B27" s="91"/>
      <c r="C27" s="91"/>
      <c r="D27" s="91"/>
      <c r="E27" s="92"/>
      <c r="F27" s="93"/>
      <c r="G27" s="96"/>
      <c r="H27" s="94"/>
      <c r="I27" s="106"/>
      <c r="J27" s="107"/>
      <c r="K27" s="107"/>
      <c r="O27" s="85"/>
      <c r="BE27" s="115"/>
    </row>
    <row r="28" s="76" customFormat="1" ht="33" customHeight="1" spans="1:57">
      <c r="A28" s="90"/>
      <c r="B28" s="91"/>
      <c r="C28" s="91"/>
      <c r="D28" s="91"/>
      <c r="E28" s="92"/>
      <c r="F28" s="93"/>
      <c r="G28" s="96"/>
      <c r="H28" s="94"/>
      <c r="I28" s="106"/>
      <c r="J28" s="107"/>
      <c r="K28" s="107"/>
      <c r="O28" s="85"/>
      <c r="BE28" s="115"/>
    </row>
    <row r="29" s="76" customFormat="1" ht="33" customHeight="1" spans="1:57">
      <c r="A29" s="90"/>
      <c r="B29" s="91"/>
      <c r="C29" s="91"/>
      <c r="D29" s="91"/>
      <c r="E29" s="92"/>
      <c r="F29" s="93"/>
      <c r="G29" s="96"/>
      <c r="H29" s="94"/>
      <c r="I29" s="106"/>
      <c r="J29" s="107"/>
      <c r="K29" s="107"/>
      <c r="O29" s="85"/>
      <c r="BE29" s="115"/>
    </row>
    <row r="30" s="76" customFormat="1" ht="33" customHeight="1" spans="1:57">
      <c r="A30" s="90"/>
      <c r="B30" s="91"/>
      <c r="C30" s="91"/>
      <c r="D30" s="91"/>
      <c r="E30" s="92"/>
      <c r="F30" s="93"/>
      <c r="G30" s="96"/>
      <c r="H30" s="94"/>
      <c r="I30" s="106"/>
      <c r="J30" s="107"/>
      <c r="K30" s="107"/>
      <c r="O30" s="85"/>
      <c r="BE30" s="115"/>
    </row>
    <row r="31" s="76" customFormat="1" ht="33" customHeight="1" spans="1:57">
      <c r="A31" s="90"/>
      <c r="B31" s="91"/>
      <c r="C31" s="91"/>
      <c r="D31" s="91"/>
      <c r="E31" s="92"/>
      <c r="F31" s="93"/>
      <c r="G31" s="96"/>
      <c r="H31" s="94"/>
      <c r="I31" s="106"/>
      <c r="J31" s="107"/>
      <c r="K31" s="107"/>
      <c r="O31" s="85"/>
      <c r="BE31" s="115"/>
    </row>
    <row r="32" s="76" customFormat="1" ht="33" customHeight="1" spans="1:57">
      <c r="A32" s="90"/>
      <c r="B32" s="91"/>
      <c r="C32" s="91"/>
      <c r="D32" s="91"/>
      <c r="E32" s="92"/>
      <c r="F32" s="93"/>
      <c r="G32" s="96"/>
      <c r="H32" s="94"/>
      <c r="I32" s="106"/>
      <c r="J32" s="107"/>
      <c r="K32" s="107"/>
      <c r="O32" s="85"/>
      <c r="BE32" s="115"/>
    </row>
    <row r="33" s="76" customFormat="1" ht="33" customHeight="1" spans="1:57">
      <c r="A33" s="90"/>
      <c r="B33" s="91"/>
      <c r="C33" s="91"/>
      <c r="D33" s="91"/>
      <c r="E33" s="92"/>
      <c r="F33" s="93"/>
      <c r="G33" s="96"/>
      <c r="H33" s="94"/>
      <c r="I33" s="106"/>
      <c r="J33" s="107"/>
      <c r="K33" s="107"/>
      <c r="O33" s="85"/>
      <c r="BE33" s="115"/>
    </row>
    <row r="34" s="76" customFormat="1" ht="33" customHeight="1" spans="1:57">
      <c r="A34" s="90"/>
      <c r="B34" s="91"/>
      <c r="C34" s="91"/>
      <c r="D34" s="91"/>
      <c r="E34" s="92"/>
      <c r="F34" s="93"/>
      <c r="G34" s="96"/>
      <c r="H34" s="94"/>
      <c r="I34" s="106"/>
      <c r="J34" s="107"/>
      <c r="K34" s="107"/>
      <c r="O34" s="85"/>
      <c r="BE34" s="115"/>
    </row>
    <row r="35" s="76" customFormat="1" ht="33" customHeight="1" spans="1:57">
      <c r="A35" s="90"/>
      <c r="B35" s="91"/>
      <c r="C35" s="91"/>
      <c r="D35" s="91"/>
      <c r="E35" s="92"/>
      <c r="F35" s="93"/>
      <c r="G35" s="96"/>
      <c r="H35" s="94"/>
      <c r="I35" s="106"/>
      <c r="J35" s="107"/>
      <c r="K35" s="107"/>
      <c r="O35" s="85"/>
      <c r="BE35" s="115"/>
    </row>
    <row r="36" s="76" customFormat="1" ht="33" customHeight="1" spans="1:57">
      <c r="A36" s="90"/>
      <c r="B36" s="91"/>
      <c r="C36" s="91"/>
      <c r="D36" s="91"/>
      <c r="E36" s="92"/>
      <c r="F36" s="93"/>
      <c r="G36" s="96"/>
      <c r="H36" s="94"/>
      <c r="I36" s="106"/>
      <c r="J36" s="107"/>
      <c r="K36" s="107"/>
      <c r="O36" s="85"/>
      <c r="BE36" s="115"/>
    </row>
    <row r="37" s="76" customFormat="1" ht="33" customHeight="1" spans="1:57">
      <c r="A37" s="90"/>
      <c r="B37" s="91"/>
      <c r="C37" s="91"/>
      <c r="D37" s="91"/>
      <c r="E37" s="92"/>
      <c r="F37" s="93"/>
      <c r="G37" s="96"/>
      <c r="H37" s="94"/>
      <c r="I37" s="106"/>
      <c r="J37" s="107"/>
      <c r="K37" s="107"/>
      <c r="O37" s="85"/>
      <c r="BE37" s="115"/>
    </row>
    <row r="38" s="76" customFormat="1" ht="33" customHeight="1" spans="1:57">
      <c r="A38" s="90"/>
      <c r="B38" s="91"/>
      <c r="C38" s="91"/>
      <c r="D38" s="91"/>
      <c r="E38" s="92"/>
      <c r="F38" s="93"/>
      <c r="G38" s="96"/>
      <c r="H38" s="94"/>
      <c r="I38" s="106"/>
      <c r="J38" s="107"/>
      <c r="K38" s="107"/>
      <c r="O38" s="85"/>
      <c r="BE38" s="115"/>
    </row>
    <row r="39" s="76" customFormat="1" ht="33" customHeight="1" spans="1:57">
      <c r="A39" s="90"/>
      <c r="B39" s="95" t="s">
        <v>57</v>
      </c>
      <c r="C39" s="91"/>
      <c r="D39" s="91"/>
      <c r="E39" s="92" t="s">
        <v>58</v>
      </c>
      <c r="F39" s="93"/>
      <c r="G39" s="96"/>
      <c r="H39" s="94"/>
      <c r="I39" s="106"/>
      <c r="J39" s="107"/>
      <c r="K39" s="107"/>
      <c r="O39" s="85"/>
      <c r="BE39" s="115"/>
    </row>
    <row r="40" s="76" customFormat="1" ht="33" customHeight="1" spans="1:57">
      <c r="A40" s="90"/>
      <c r="B40" s="91"/>
      <c r="C40" s="91"/>
      <c r="D40" s="91"/>
      <c r="E40" s="92"/>
      <c r="F40" s="93"/>
      <c r="G40" s="96"/>
      <c r="H40" s="94"/>
      <c r="I40" s="106"/>
      <c r="J40" s="107"/>
      <c r="K40" s="107"/>
      <c r="O40" s="85"/>
      <c r="BE40" s="115"/>
    </row>
    <row r="41" s="76" customFormat="1" ht="33" customHeight="1" spans="1:57">
      <c r="A41" s="90"/>
      <c r="B41" s="91"/>
      <c r="C41" s="91"/>
      <c r="D41" s="91"/>
      <c r="E41" s="92"/>
      <c r="F41" s="93"/>
      <c r="G41" s="96"/>
      <c r="H41" s="94"/>
      <c r="I41" s="106"/>
      <c r="J41" s="107"/>
      <c r="K41" s="107"/>
      <c r="O41" s="85"/>
      <c r="BE41" s="115"/>
    </row>
    <row r="42" s="76" customFormat="1" ht="33" customHeight="1" spans="1:57">
      <c r="A42" s="90"/>
      <c r="B42" s="91"/>
      <c r="C42" s="91"/>
      <c r="D42" s="91"/>
      <c r="E42" s="92"/>
      <c r="F42" s="93"/>
      <c r="G42" s="96"/>
      <c r="H42" s="94"/>
      <c r="I42" s="106"/>
      <c r="J42" s="107"/>
      <c r="K42" s="107"/>
      <c r="O42" s="85"/>
      <c r="BE42" s="115"/>
    </row>
    <row r="43" s="76" customFormat="1" ht="33" customHeight="1" spans="1:57">
      <c r="A43" s="90"/>
      <c r="B43" s="91"/>
      <c r="C43" s="91"/>
      <c r="D43" s="91"/>
      <c r="E43" s="92"/>
      <c r="F43" s="93"/>
      <c r="G43" s="96"/>
      <c r="H43" s="94"/>
      <c r="I43" s="106"/>
      <c r="J43" s="107"/>
      <c r="K43" s="107"/>
      <c r="O43" s="85"/>
      <c r="BE43" s="115"/>
    </row>
    <row r="44" s="76" customFormat="1" ht="33" customHeight="1" spans="1:57">
      <c r="A44" s="90"/>
      <c r="B44" s="91"/>
      <c r="C44" s="91"/>
      <c r="D44" s="91"/>
      <c r="E44" s="92"/>
      <c r="F44" s="93"/>
      <c r="G44" s="96"/>
      <c r="H44" s="94"/>
      <c r="I44" s="106"/>
      <c r="J44" s="107"/>
      <c r="K44" s="107"/>
      <c r="O44" s="85"/>
      <c r="BE44" s="115"/>
    </row>
    <row r="45" s="77" customFormat="1" ht="33" customHeight="1" spans="1:57">
      <c r="A45" s="97"/>
      <c r="B45" s="98"/>
      <c r="C45" s="98"/>
      <c r="D45" s="98"/>
      <c r="E45" s="99"/>
      <c r="F45" s="100"/>
      <c r="G45" s="101"/>
      <c r="H45" s="102"/>
      <c r="I45" s="112"/>
      <c r="J45" s="113" t="s">
        <v>59</v>
      </c>
      <c r="K45" s="113">
        <v>255083.791</v>
      </c>
      <c r="O45" s="114"/>
      <c r="BE45" s="116"/>
    </row>
  </sheetData>
  <pageMargins left="0.7" right="0.7" top="0.75" bottom="0.75" header="0.3" footer="0.3"/>
  <pageSetup paperSize="9" scale="53" orientation="portrait"/>
  <headerFooter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theme="0" tint="-0.249977111117893"/>
    <pageSetUpPr fitToPage="1"/>
  </sheetPr>
  <dimension ref="B1:N89"/>
  <sheetViews>
    <sheetView showGridLines="0" view="pageBreakPreview" zoomScale="30" zoomScaleNormal="40" workbookViewId="0">
      <selection activeCell="D14" sqref="D14"/>
    </sheetView>
  </sheetViews>
  <sheetFormatPr defaultColWidth="8.81904761904762" defaultRowHeight="12"/>
  <cols>
    <col min="1" max="1" width="6" style="5" customWidth="1"/>
    <col min="2" max="2" width="21.5428571428571" style="6" customWidth="1"/>
    <col min="3" max="3" width="21.5428571428571" style="7" customWidth="1"/>
    <col min="4" max="4" width="184.819047619048" style="5" customWidth="1"/>
    <col min="5" max="5" width="36.5428571428571" style="8" customWidth="1"/>
    <col min="6" max="8" width="32" style="9" customWidth="1"/>
    <col min="9" max="9" width="28.8190476190476" style="9" customWidth="1"/>
    <col min="10" max="10" width="39" style="8" customWidth="1"/>
    <col min="11" max="11" width="69.4571428571429" style="10" customWidth="1"/>
    <col min="12" max="12" width="38.8190476190476" style="11" customWidth="1"/>
    <col min="13" max="13" width="33.7238095238095" style="12" customWidth="1"/>
    <col min="14" max="14" width="42.2666666666667" style="12" customWidth="1"/>
    <col min="15" max="15" width="36.1809523809524" style="5" customWidth="1"/>
    <col min="16" max="33" width="8.81904761904762" style="5"/>
    <col min="34" max="34" width="19.8190476190476" style="5" customWidth="1"/>
    <col min="35" max="35" width="9.45714285714286" style="5" customWidth="1"/>
    <col min="36" max="16384" width="8.81904761904762" style="5"/>
  </cols>
  <sheetData>
    <row r="1" ht="15.65" customHeight="1"/>
    <row r="2" ht="48.65" customHeight="1" spans="9:12">
      <c r="I2" s="33" t="s">
        <v>6</v>
      </c>
      <c r="J2" s="33"/>
      <c r="K2" s="33" t="str">
        <f>'AFP Summary'!H8</f>
        <v>Doncaster Unit 02 &amp; 03</v>
      </c>
      <c r="L2" s="34"/>
    </row>
    <row r="3" ht="48.65" customHeight="1" spans="9:12">
      <c r="I3" s="35" t="s">
        <v>5</v>
      </c>
      <c r="J3" s="36"/>
      <c r="K3" s="37" t="str">
        <f>'AFP Summary'!B9</f>
        <v>Fit Out (UK) Ltd</v>
      </c>
      <c r="L3" s="38"/>
    </row>
    <row r="4" ht="48.65" customHeight="1" spans="5:12">
      <c r="E4" s="8" t="s">
        <v>24</v>
      </c>
      <c r="I4" s="35" t="s">
        <v>60</v>
      </c>
      <c r="J4" s="39"/>
      <c r="K4" s="40">
        <f>SUM(Table14[Value £])</f>
        <v>5000</v>
      </c>
      <c r="L4" s="38"/>
    </row>
    <row r="5" ht="48.65" customHeight="1" spans="3:12">
      <c r="C5" s="13"/>
      <c r="I5" s="35" t="s">
        <v>61</v>
      </c>
      <c r="J5" s="39"/>
      <c r="K5" s="40">
        <f>SUMIF(Table14[Status],"Agreed",Table14[Value £])</f>
        <v>0</v>
      </c>
      <c r="L5" s="38"/>
    </row>
    <row r="6" ht="48.65" customHeight="1" spans="3:12">
      <c r="C6" s="14" t="s">
        <v>62</v>
      </c>
      <c r="I6" s="35" t="s">
        <v>63</v>
      </c>
      <c r="J6" s="39"/>
      <c r="K6" s="40">
        <f>K4-K5</f>
        <v>5000</v>
      </c>
      <c r="L6" s="38"/>
    </row>
    <row r="7" ht="48.65" customHeight="1" spans="3:12">
      <c r="C7" s="14"/>
      <c r="I7" s="35" t="s">
        <v>64</v>
      </c>
      <c r="J7" s="39"/>
      <c r="K7" s="40">
        <f>SUM(M14:M91)</f>
        <v>0</v>
      </c>
      <c r="L7" s="38"/>
    </row>
    <row r="8" ht="48.65" customHeight="1" spans="3:12">
      <c r="C8" s="15" t="s">
        <v>1</v>
      </c>
      <c r="D8" s="16"/>
      <c r="I8" s="35" t="s">
        <v>65</v>
      </c>
      <c r="J8" s="39"/>
      <c r="K8" s="41">
        <f>IFERROR(K5/K4,"")</f>
        <v>0</v>
      </c>
      <c r="L8" s="42"/>
    </row>
    <row r="9" s="1" customFormat="1" ht="48.65" customHeight="1" spans="2:14">
      <c r="B9" s="17"/>
      <c r="C9" s="18" t="s">
        <v>2</v>
      </c>
      <c r="D9" s="16"/>
      <c r="E9" s="19"/>
      <c r="F9" s="20"/>
      <c r="G9" s="20"/>
      <c r="H9" s="20"/>
      <c r="I9" s="35" t="s">
        <v>66</v>
      </c>
      <c r="J9" s="39"/>
      <c r="K9" s="43">
        <f>COUNT(Table14[ VO])</f>
        <v>2</v>
      </c>
      <c r="L9" s="38"/>
      <c r="M9" s="44"/>
      <c r="N9" s="44"/>
    </row>
    <row r="10" s="1" customFormat="1" ht="48.65" customHeight="1" spans="2:14">
      <c r="B10" s="17"/>
      <c r="C10" s="232" t="s">
        <v>3</v>
      </c>
      <c r="D10" s="21"/>
      <c r="E10" s="19"/>
      <c r="F10" s="20"/>
      <c r="G10" s="20"/>
      <c r="H10" s="20"/>
      <c r="I10" s="35" t="s">
        <v>67</v>
      </c>
      <c r="J10" s="45"/>
      <c r="K10" s="43">
        <f>COUNTIF(Table14[Status],"Agreed")</f>
        <v>1</v>
      </c>
      <c r="L10" s="38"/>
      <c r="M10" s="44"/>
      <c r="N10" s="44"/>
    </row>
    <row r="11" s="1" customFormat="1" ht="48.65" customHeight="1" spans="3:14">
      <c r="C11" s="18" t="s">
        <v>4</v>
      </c>
      <c r="D11" s="16"/>
      <c r="E11" s="19"/>
      <c r="F11" s="20"/>
      <c r="G11" s="20"/>
      <c r="H11" s="20"/>
      <c r="I11" s="46" t="s">
        <v>68</v>
      </c>
      <c r="J11" s="47"/>
      <c r="K11" s="48">
        <f>COUNTIF(Table14[Value £],"tbc")</f>
        <v>1</v>
      </c>
      <c r="L11" s="38"/>
      <c r="M11" s="44"/>
      <c r="N11" s="44"/>
    </row>
    <row r="12" ht="20.15" customHeight="1"/>
    <row r="13" s="2" customFormat="1" ht="87.75" customHeight="1" spans="2:14">
      <c r="B13" s="22" t="s">
        <v>69</v>
      </c>
      <c r="C13" s="22" t="s">
        <v>70</v>
      </c>
      <c r="D13" s="22" t="s">
        <v>71</v>
      </c>
      <c r="E13" s="23" t="s">
        <v>72</v>
      </c>
      <c r="F13" s="24" t="s">
        <v>73</v>
      </c>
      <c r="G13" s="24" t="s">
        <v>74</v>
      </c>
      <c r="H13" s="24" t="s">
        <v>75</v>
      </c>
      <c r="I13" s="24" t="s">
        <v>76</v>
      </c>
      <c r="J13" s="23" t="s">
        <v>77</v>
      </c>
      <c r="K13" s="22" t="s">
        <v>36</v>
      </c>
      <c r="L13" s="49" t="s">
        <v>34</v>
      </c>
      <c r="M13" s="24" t="s">
        <v>35</v>
      </c>
      <c r="N13" s="24" t="s">
        <v>78</v>
      </c>
    </row>
    <row r="14" s="3" customFormat="1" ht="65.15" customHeight="1" spans="2:14">
      <c r="B14" s="25"/>
      <c r="C14" s="26">
        <v>1</v>
      </c>
      <c r="D14" s="27" t="s">
        <v>79</v>
      </c>
      <c r="E14" s="28">
        <v>45512</v>
      </c>
      <c r="F14" s="29">
        <v>0</v>
      </c>
      <c r="G14" s="29"/>
      <c r="H14" s="29"/>
      <c r="I14" s="50" t="s">
        <v>80</v>
      </c>
      <c r="J14" s="51">
        <v>45523</v>
      </c>
      <c r="K14" s="52"/>
      <c r="L14" s="53">
        <v>1</v>
      </c>
      <c r="M14" s="50">
        <f>IF(Table14[[#This Row],[Progress %]]="","",Table14[[#This Row],[Progress %]]*Table14[[#This Row],[Value £]])</f>
        <v>0</v>
      </c>
      <c r="N14" s="54" t="s">
        <v>81</v>
      </c>
    </row>
    <row r="15" s="3" customFormat="1" ht="65.15" customHeight="1" spans="2:14">
      <c r="B15" s="30"/>
      <c r="C15" s="26">
        <v>2</v>
      </c>
      <c r="D15" s="31" t="s">
        <v>82</v>
      </c>
      <c r="E15" s="28"/>
      <c r="F15" s="29" t="s">
        <v>83</v>
      </c>
      <c r="G15" s="29"/>
      <c r="H15" s="29"/>
      <c r="I15" s="55" t="s">
        <v>63</v>
      </c>
      <c r="J15" s="56"/>
      <c r="K15" s="54"/>
      <c r="L15" s="57"/>
      <c r="M15" s="50" t="str">
        <f>IF(Table14[[#This Row],[Progress %]]="","",Table14[[#This Row],[Progress %]]*Table14[[#This Row],[Value £]])</f>
        <v/>
      </c>
      <c r="N15" s="58"/>
    </row>
    <row r="16" s="3" customFormat="1" ht="65.15" customHeight="1" spans="2:14">
      <c r="B16" s="25"/>
      <c r="C16" s="26"/>
      <c r="D16" s="27" t="s">
        <v>84</v>
      </c>
      <c r="E16" s="28"/>
      <c r="F16" s="29">
        <v>5000</v>
      </c>
      <c r="G16" s="29"/>
      <c r="H16" s="29"/>
      <c r="I16" s="50"/>
      <c r="J16" s="51"/>
      <c r="K16" s="52"/>
      <c r="L16" s="53"/>
      <c r="M16" s="50"/>
      <c r="N16" s="54"/>
    </row>
    <row r="17" s="3" customFormat="1" ht="65.15" customHeight="1" spans="2:14">
      <c r="B17" s="25"/>
      <c r="C17" s="26"/>
      <c r="D17" s="27"/>
      <c r="E17" s="28"/>
      <c r="F17" s="29"/>
      <c r="G17" s="29"/>
      <c r="H17" s="29"/>
      <c r="I17" s="50"/>
      <c r="J17" s="51"/>
      <c r="K17" s="52"/>
      <c r="L17" s="53"/>
      <c r="M17" s="50"/>
      <c r="N17" s="54"/>
    </row>
    <row r="18" s="3" customFormat="1" ht="65.15" customHeight="1" spans="2:14">
      <c r="B18" s="25"/>
      <c r="C18" s="26"/>
      <c r="D18" s="27"/>
      <c r="E18" s="28"/>
      <c r="F18" s="29"/>
      <c r="G18" s="29"/>
      <c r="H18" s="29"/>
      <c r="I18" s="50"/>
      <c r="J18" s="51"/>
      <c r="K18" s="54"/>
      <c r="L18" s="53"/>
      <c r="M18" s="50"/>
      <c r="N18" s="54"/>
    </row>
    <row r="19" s="3" customFormat="1" ht="65.15" customHeight="1" spans="2:14">
      <c r="B19" s="25"/>
      <c r="C19" s="26"/>
      <c r="D19" s="32"/>
      <c r="E19" s="28"/>
      <c r="F19" s="29"/>
      <c r="G19" s="29"/>
      <c r="H19" s="29"/>
      <c r="I19" s="50"/>
      <c r="J19" s="51"/>
      <c r="K19" s="59"/>
      <c r="L19" s="60"/>
      <c r="M19" s="61"/>
      <c r="N19" s="54"/>
    </row>
    <row r="20" s="4" customFormat="1" ht="65.15" customHeight="1" spans="2:14">
      <c r="B20" s="25"/>
      <c r="C20" s="26"/>
      <c r="D20" s="31"/>
      <c r="E20" s="28"/>
      <c r="F20" s="29"/>
      <c r="G20" s="29"/>
      <c r="H20" s="29"/>
      <c r="I20" s="50"/>
      <c r="J20" s="51"/>
      <c r="K20" s="52"/>
      <c r="L20" s="53"/>
      <c r="M20" s="50"/>
      <c r="N20" s="54"/>
    </row>
    <row r="21" s="4" customFormat="1" ht="65.15" customHeight="1" spans="2:14">
      <c r="B21" s="25"/>
      <c r="C21" s="26"/>
      <c r="D21" s="27"/>
      <c r="E21" s="28"/>
      <c r="F21" s="29"/>
      <c r="G21" s="29"/>
      <c r="H21" s="29"/>
      <c r="I21" s="50"/>
      <c r="J21" s="51"/>
      <c r="K21" s="52"/>
      <c r="L21" s="53"/>
      <c r="M21" s="50"/>
      <c r="N21" s="54"/>
    </row>
    <row r="22" s="4" customFormat="1" ht="65.15" customHeight="1" spans="2:14">
      <c r="B22" s="25"/>
      <c r="C22" s="26"/>
      <c r="D22" s="27"/>
      <c r="E22" s="28"/>
      <c r="F22" s="29"/>
      <c r="G22" s="29"/>
      <c r="H22" s="29"/>
      <c r="I22" s="50"/>
      <c r="J22" s="51"/>
      <c r="K22" s="52"/>
      <c r="L22" s="53"/>
      <c r="M22" s="50"/>
      <c r="N22" s="54"/>
    </row>
    <row r="23" s="4" customFormat="1" ht="65.15" customHeight="1" spans="2:14">
      <c r="B23" s="25"/>
      <c r="C23" s="26" t="str">
        <f>IF(Table14[[#This Row],[Description]]="","",C22+1)</f>
        <v/>
      </c>
      <c r="D23" s="27"/>
      <c r="E23" s="28"/>
      <c r="F23" s="29"/>
      <c r="G23" s="29"/>
      <c r="H23" s="29"/>
      <c r="I23" s="50"/>
      <c r="J23" s="51"/>
      <c r="K23" s="52"/>
      <c r="L23" s="53"/>
      <c r="M23" s="50" t="str">
        <f>IF(Table14[[#This Row],[Progress %]]="","",Table14[[#This Row],[Progress %]]*Table14[[#This Row],[Value £]])</f>
        <v/>
      </c>
      <c r="N23" s="54"/>
    </row>
    <row r="24" s="4" customFormat="1" ht="65.15" customHeight="1" spans="2:14">
      <c r="B24" s="25"/>
      <c r="C24" s="26" t="str">
        <f>IF(Table14[[#This Row],[Description]]="","",C23+1)</f>
        <v/>
      </c>
      <c r="D24" s="27"/>
      <c r="E24" s="28"/>
      <c r="F24" s="29"/>
      <c r="G24" s="29"/>
      <c r="H24" s="29"/>
      <c r="I24" s="50"/>
      <c r="J24" s="51"/>
      <c r="K24" s="52"/>
      <c r="L24" s="53"/>
      <c r="M24" s="50" t="str">
        <f>IF(Table14[[#This Row],[Progress %]]="","",Table14[[#This Row],[Progress %]]*Table14[[#This Row],[Value £]])</f>
        <v/>
      </c>
      <c r="N24" s="54"/>
    </row>
    <row r="25" s="4" customFormat="1" ht="65.15" customHeight="1" spans="2:14">
      <c r="B25" s="25"/>
      <c r="C25" s="26" t="str">
        <f>IF(Table14[[#This Row],[Description]]="","",C24+1)</f>
        <v/>
      </c>
      <c r="D25" s="27"/>
      <c r="E25" s="28"/>
      <c r="F25" s="29"/>
      <c r="G25" s="29"/>
      <c r="H25" s="29"/>
      <c r="I25" s="50"/>
      <c r="J25" s="51"/>
      <c r="K25" s="52"/>
      <c r="L25" s="53"/>
      <c r="M25" s="50" t="str">
        <f>IF(Table14[[#This Row],[Progress %]]="","",Table14[[#This Row],[Progress %]]*Table14[[#This Row],[Value £]])</f>
        <v/>
      </c>
      <c r="N25" s="54"/>
    </row>
    <row r="26" s="4" customFormat="1" ht="65.15" customHeight="1" spans="2:14">
      <c r="B26" s="25"/>
      <c r="C26" s="26" t="str">
        <f>IF(Table14[[#This Row],[Description]]="","",C25+1)</f>
        <v/>
      </c>
      <c r="D26" s="27"/>
      <c r="E26" s="28"/>
      <c r="F26" s="29"/>
      <c r="G26" s="29"/>
      <c r="H26" s="29"/>
      <c r="I26" s="50"/>
      <c r="J26" s="51"/>
      <c r="K26" s="52"/>
      <c r="L26" s="53"/>
      <c r="M26" s="50" t="str">
        <f>IF(Table14[[#This Row],[Progress %]]="","",Table14[[#This Row],[Progress %]]*Table14[[#This Row],[Value £]])</f>
        <v/>
      </c>
      <c r="N26" s="54"/>
    </row>
    <row r="27" s="4" customFormat="1" ht="65.15" customHeight="1" spans="2:14">
      <c r="B27" s="25"/>
      <c r="C27" s="26" t="str">
        <f>IF(Table14[[#This Row],[Description]]="","",C26+1)</f>
        <v/>
      </c>
      <c r="D27" s="27"/>
      <c r="E27" s="28"/>
      <c r="F27" s="29"/>
      <c r="G27" s="29"/>
      <c r="H27" s="29"/>
      <c r="I27" s="50"/>
      <c r="J27" s="51"/>
      <c r="K27" s="52"/>
      <c r="L27" s="53"/>
      <c r="M27" s="50" t="str">
        <f>IF(Table14[[#This Row],[Progress %]]="","",Table14[[#This Row],[Progress %]]*Table14[[#This Row],[Value £]])</f>
        <v/>
      </c>
      <c r="N27" s="54"/>
    </row>
    <row r="28" s="4" customFormat="1" ht="65.15" customHeight="1" spans="2:14">
      <c r="B28" s="25"/>
      <c r="C28" s="26" t="str">
        <f>IF(Table14[[#This Row],[Description]]="","",C27+1)</f>
        <v/>
      </c>
      <c r="D28" s="27"/>
      <c r="E28" s="28"/>
      <c r="F28" s="29"/>
      <c r="G28" s="29"/>
      <c r="H28" s="29"/>
      <c r="I28" s="50"/>
      <c r="J28" s="51"/>
      <c r="K28" s="52"/>
      <c r="L28" s="53"/>
      <c r="M28" s="50" t="str">
        <f>IF(Table14[[#This Row],[Progress %]]="","",Table14[[#This Row],[Progress %]]*Table14[[#This Row],[Value £]])</f>
        <v/>
      </c>
      <c r="N28" s="54"/>
    </row>
    <row r="29" s="4" customFormat="1" ht="65.15" customHeight="1" spans="2:14">
      <c r="B29" s="25"/>
      <c r="C29" s="26" t="str">
        <f>IF(Table14[[#This Row],[Description]]="","",C28+1)</f>
        <v/>
      </c>
      <c r="D29" s="27"/>
      <c r="E29" s="28"/>
      <c r="F29" s="29"/>
      <c r="G29" s="29"/>
      <c r="H29" s="29"/>
      <c r="I29" s="50"/>
      <c r="J29" s="51"/>
      <c r="K29" s="52"/>
      <c r="L29" s="53"/>
      <c r="M29" s="50" t="str">
        <f>IF(Table14[[#This Row],[Progress %]]="","",Table14[[#This Row],[Progress %]]*Table14[[#This Row],[Value £]])</f>
        <v/>
      </c>
      <c r="N29" s="54"/>
    </row>
    <row r="30" s="4" customFormat="1" ht="65.15" customHeight="1" spans="2:14">
      <c r="B30" s="25"/>
      <c r="C30" s="26" t="str">
        <f>IF(Table14[[#This Row],[Description]]="","",C29+1)</f>
        <v/>
      </c>
      <c r="D30" s="27"/>
      <c r="E30" s="28"/>
      <c r="F30" s="29"/>
      <c r="G30" s="29"/>
      <c r="H30" s="29"/>
      <c r="I30" s="50"/>
      <c r="J30" s="51"/>
      <c r="K30" s="52"/>
      <c r="L30" s="53"/>
      <c r="M30" s="50" t="str">
        <f>IF(Table14[[#This Row],[Progress %]]="","",Table14[[#This Row],[Progress %]]*Table14[[#This Row],[Value £]])</f>
        <v/>
      </c>
      <c r="N30" s="54"/>
    </row>
    <row r="31" s="4" customFormat="1" ht="65.15" customHeight="1" spans="2:14">
      <c r="B31" s="25"/>
      <c r="C31" s="26" t="str">
        <f>IF(Table14[[#This Row],[Description]]="","",C30+1)</f>
        <v/>
      </c>
      <c r="D31" s="27"/>
      <c r="E31" s="28"/>
      <c r="F31" s="29"/>
      <c r="G31" s="29"/>
      <c r="H31" s="29"/>
      <c r="I31" s="50"/>
      <c r="J31" s="51"/>
      <c r="K31" s="52"/>
      <c r="L31" s="53"/>
      <c r="M31" s="50" t="str">
        <f>IF(Table14[[#This Row],[Progress %]]="","",Table14[[#This Row],[Progress %]]*Table14[[#This Row],[Value £]])</f>
        <v/>
      </c>
      <c r="N31" s="54"/>
    </row>
    <row r="32" s="4" customFormat="1" ht="65.15" customHeight="1" spans="2:14">
      <c r="B32" s="25"/>
      <c r="C32" s="26" t="str">
        <f>IF(Table14[[#This Row],[Description]]="","",C31+1)</f>
        <v/>
      </c>
      <c r="D32" s="27"/>
      <c r="E32" s="28"/>
      <c r="F32" s="29"/>
      <c r="G32" s="29"/>
      <c r="H32" s="29"/>
      <c r="I32" s="50"/>
      <c r="J32" s="51"/>
      <c r="K32" s="52"/>
      <c r="L32" s="53"/>
      <c r="M32" s="50" t="str">
        <f>IF(Table14[[#This Row],[Progress %]]="","",Table14[[#This Row],[Progress %]]*Table14[[#This Row],[Value £]])</f>
        <v/>
      </c>
      <c r="N32" s="54"/>
    </row>
    <row r="33" s="4" customFormat="1" ht="65.15" customHeight="1" spans="2:14">
      <c r="B33" s="25"/>
      <c r="C33" s="26" t="str">
        <f>IF(Table14[[#This Row],[Description]]="","",C32+1)</f>
        <v/>
      </c>
      <c r="D33" s="27"/>
      <c r="E33" s="28"/>
      <c r="F33" s="29"/>
      <c r="G33" s="29"/>
      <c r="H33" s="29"/>
      <c r="I33" s="50"/>
      <c r="J33" s="51"/>
      <c r="K33" s="52"/>
      <c r="L33" s="53"/>
      <c r="M33" s="50" t="str">
        <f>IF(Table14[[#This Row],[Progress %]]="","",Table14[[#This Row],[Progress %]]*Table14[[#This Row],[Value £]])</f>
        <v/>
      </c>
      <c r="N33" s="54"/>
    </row>
    <row r="34" s="4" customFormat="1" ht="65.15" customHeight="1" spans="2:14">
      <c r="B34" s="25"/>
      <c r="C34" s="26" t="str">
        <f>IF(Table14[[#This Row],[Description]]="","",C33+1)</f>
        <v/>
      </c>
      <c r="D34" s="27"/>
      <c r="E34" s="28"/>
      <c r="F34" s="29"/>
      <c r="G34" s="29"/>
      <c r="H34" s="29"/>
      <c r="I34" s="50"/>
      <c r="J34" s="51"/>
      <c r="K34" s="52"/>
      <c r="L34" s="53"/>
      <c r="M34" s="50" t="str">
        <f>IF(Table14[[#This Row],[Progress %]]="","",Table14[[#This Row],[Progress %]]*Table14[[#This Row],[Value £]])</f>
        <v/>
      </c>
      <c r="N34" s="54"/>
    </row>
    <row r="35" s="4" customFormat="1" ht="65.15" customHeight="1" spans="2:14">
      <c r="B35" s="25"/>
      <c r="C35" s="26" t="str">
        <f>IF(Table14[[#This Row],[Description]]="","",C34+1)</f>
        <v/>
      </c>
      <c r="D35" s="27"/>
      <c r="E35" s="28"/>
      <c r="F35" s="29"/>
      <c r="G35" s="29"/>
      <c r="H35" s="29"/>
      <c r="I35" s="50"/>
      <c r="J35" s="51"/>
      <c r="K35" s="52"/>
      <c r="L35" s="53"/>
      <c r="M35" s="50" t="str">
        <f>IF(Table14[[#This Row],[Progress %]]="","",Table14[[#This Row],[Progress %]]*Table14[[#This Row],[Value £]])</f>
        <v/>
      </c>
      <c r="N35" s="54"/>
    </row>
    <row r="36" s="4" customFormat="1" ht="65.15" customHeight="1" spans="2:14">
      <c r="B36" s="25"/>
      <c r="C36" s="26" t="str">
        <f>IF(Table14[[#This Row],[Description]]="","",C35+1)</f>
        <v/>
      </c>
      <c r="D36" s="27"/>
      <c r="E36" s="28"/>
      <c r="F36" s="29"/>
      <c r="G36" s="29"/>
      <c r="H36" s="29"/>
      <c r="I36" s="50"/>
      <c r="J36" s="51"/>
      <c r="K36" s="52"/>
      <c r="L36" s="53"/>
      <c r="M36" s="50" t="str">
        <f>IF(Table14[[#This Row],[Progress %]]="","",Table14[[#This Row],[Progress %]]*Table14[[#This Row],[Value £]])</f>
        <v/>
      </c>
      <c r="N36" s="54"/>
    </row>
    <row r="37" s="4" customFormat="1" ht="65.15" customHeight="1" spans="2:14">
      <c r="B37" s="25"/>
      <c r="C37" s="26" t="str">
        <f>IF(Table14[[#This Row],[Description]]="","",C36+1)</f>
        <v/>
      </c>
      <c r="D37" s="27"/>
      <c r="E37" s="28"/>
      <c r="F37" s="29"/>
      <c r="G37" s="29"/>
      <c r="H37" s="29"/>
      <c r="I37" s="50"/>
      <c r="J37" s="51"/>
      <c r="K37" s="52"/>
      <c r="L37" s="53"/>
      <c r="M37" s="50" t="str">
        <f>IF(Table14[[#This Row],[Progress %]]="","",Table14[[#This Row],[Progress %]]*Table14[[#This Row],[Value £]])</f>
        <v/>
      </c>
      <c r="N37" s="54"/>
    </row>
    <row r="38" s="4" customFormat="1" ht="65.15" customHeight="1" spans="2:14">
      <c r="B38" s="25"/>
      <c r="C38" s="26" t="str">
        <f>IF(Table14[[#This Row],[Description]]="","",C37+1)</f>
        <v/>
      </c>
      <c r="D38" s="27"/>
      <c r="E38" s="28"/>
      <c r="F38" s="29"/>
      <c r="G38" s="29"/>
      <c r="H38" s="29"/>
      <c r="I38" s="50"/>
      <c r="J38" s="51"/>
      <c r="K38" s="52"/>
      <c r="L38" s="53"/>
      <c r="M38" s="50" t="str">
        <f>IF(Table14[[#This Row],[Progress %]]="","",Table14[[#This Row],[Progress %]]*Table14[[#This Row],[Value £]])</f>
        <v/>
      </c>
      <c r="N38" s="54"/>
    </row>
    <row r="39" s="4" customFormat="1" ht="65.15" customHeight="1" spans="2:14">
      <c r="B39" s="25"/>
      <c r="C39" s="26" t="str">
        <f>IF(Table14[[#This Row],[Description]]="","",C38+1)</f>
        <v/>
      </c>
      <c r="D39" s="27"/>
      <c r="E39" s="28"/>
      <c r="F39" s="29"/>
      <c r="G39" s="29"/>
      <c r="H39" s="29"/>
      <c r="I39" s="50"/>
      <c r="J39" s="51"/>
      <c r="K39" s="52"/>
      <c r="L39" s="53"/>
      <c r="M39" s="50" t="str">
        <f>IF(Table14[[#This Row],[Progress %]]="","",Table14[[#This Row],[Progress %]]*Table14[[#This Row],[Value £]])</f>
        <v/>
      </c>
      <c r="N39" s="54"/>
    </row>
    <row r="40" s="4" customFormat="1" ht="65.15" customHeight="1" spans="2:14">
      <c r="B40" s="25"/>
      <c r="C40" s="26" t="str">
        <f>IF(Table14[[#This Row],[Description]]="","",C39+1)</f>
        <v/>
      </c>
      <c r="D40" s="27"/>
      <c r="E40" s="28"/>
      <c r="F40" s="29"/>
      <c r="G40" s="29"/>
      <c r="H40" s="29"/>
      <c r="I40" s="50"/>
      <c r="J40" s="51"/>
      <c r="K40" s="52"/>
      <c r="L40" s="53"/>
      <c r="M40" s="50" t="str">
        <f>IF(Table14[[#This Row],[Progress %]]="","",Table14[[#This Row],[Progress %]]*Table14[[#This Row],[Value £]])</f>
        <v/>
      </c>
      <c r="N40" s="54"/>
    </row>
    <row r="41" s="4" customFormat="1" ht="65.15" customHeight="1" spans="2:14">
      <c r="B41" s="25"/>
      <c r="C41" s="26" t="str">
        <f>IF(Table14[[#This Row],[Description]]="","",C40+1)</f>
        <v/>
      </c>
      <c r="D41" s="27"/>
      <c r="E41" s="28"/>
      <c r="F41" s="29"/>
      <c r="G41" s="29"/>
      <c r="H41" s="29"/>
      <c r="I41" s="50"/>
      <c r="J41" s="51"/>
      <c r="K41" s="52"/>
      <c r="L41" s="53"/>
      <c r="M41" s="50" t="str">
        <f>IF(Table14[[#This Row],[Progress %]]="","",Table14[[#This Row],[Progress %]]*Table14[[#This Row],[Value £]])</f>
        <v/>
      </c>
      <c r="N41" s="54"/>
    </row>
    <row r="42" s="4" customFormat="1" ht="65.15" customHeight="1" spans="2:14">
      <c r="B42" s="25"/>
      <c r="C42" s="26" t="str">
        <f>IF(Table14[[#This Row],[Description]]="","",C41+1)</f>
        <v/>
      </c>
      <c r="D42" s="27"/>
      <c r="E42" s="28"/>
      <c r="F42" s="29"/>
      <c r="G42" s="29"/>
      <c r="H42" s="29"/>
      <c r="I42" s="50"/>
      <c r="J42" s="51"/>
      <c r="K42" s="52"/>
      <c r="L42" s="53"/>
      <c r="M42" s="50" t="str">
        <f>IF(Table14[[#This Row],[Progress %]]="","",Table14[[#This Row],[Progress %]]*Table14[[#This Row],[Value £]])</f>
        <v/>
      </c>
      <c r="N42" s="54"/>
    </row>
    <row r="43" s="4" customFormat="1" ht="65.15" customHeight="1" spans="2:14">
      <c r="B43" s="25"/>
      <c r="C43" s="26" t="str">
        <f>IF(Table14[[#This Row],[Description]]="","",C42+1)</f>
        <v/>
      </c>
      <c r="D43" s="27"/>
      <c r="E43" s="28"/>
      <c r="F43" s="29"/>
      <c r="G43" s="29"/>
      <c r="H43" s="29"/>
      <c r="I43" s="50"/>
      <c r="J43" s="51"/>
      <c r="K43" s="52"/>
      <c r="L43" s="53"/>
      <c r="M43" s="50" t="str">
        <f>IF(Table14[[#This Row],[Progress %]]="","",Table14[[#This Row],[Progress %]]*Table14[[#This Row],[Value £]])</f>
        <v/>
      </c>
      <c r="N43" s="54"/>
    </row>
    <row r="44" s="4" customFormat="1" ht="65.15" customHeight="1" spans="2:14">
      <c r="B44" s="25"/>
      <c r="C44" s="26" t="str">
        <f>IF(Table14[[#This Row],[Description]]="","",C43+1)</f>
        <v/>
      </c>
      <c r="D44" s="27"/>
      <c r="E44" s="28"/>
      <c r="F44" s="29"/>
      <c r="G44" s="29"/>
      <c r="H44" s="29"/>
      <c r="I44" s="50"/>
      <c r="J44" s="51"/>
      <c r="K44" s="52"/>
      <c r="L44" s="53"/>
      <c r="M44" s="50" t="str">
        <f>IF(Table14[[#This Row],[Progress %]]="","",Table14[[#This Row],[Progress %]]*Table14[[#This Row],[Value £]])</f>
        <v/>
      </c>
      <c r="N44" s="54"/>
    </row>
    <row r="45" s="4" customFormat="1" ht="65.15" customHeight="1" spans="2:14">
      <c r="B45" s="25"/>
      <c r="C45" s="26" t="str">
        <f>IF(Table14[[#This Row],[Description]]="","",C44+1)</f>
        <v/>
      </c>
      <c r="D45" s="27"/>
      <c r="E45" s="28"/>
      <c r="F45" s="29"/>
      <c r="G45" s="29"/>
      <c r="H45" s="29" t="e">
        <f ca="1">IF(SUMIF([3]!Table15[VO '#],Table14[[#This Row],[ VO]],[3]!Table15[Total £])=0,"",SUMIF([3]!Table15[VO '#],Table14[[#This Row],[ VO]],[3]!Table15[Total £]))</f>
        <v>#REF!</v>
      </c>
      <c r="I45" s="50"/>
      <c r="J45" s="51"/>
      <c r="K45" s="52"/>
      <c r="L45" s="53"/>
      <c r="M45" s="50" t="str">
        <f>IF(Table14[[#This Row],[Progress %]]="","",Table14[[#This Row],[Progress %]]*Table14[[#This Row],[Value £]])</f>
        <v/>
      </c>
      <c r="N45" s="54"/>
    </row>
    <row r="46" s="4" customFormat="1" ht="65.15" customHeight="1" spans="2:14">
      <c r="B46" s="25"/>
      <c r="C46" s="26" t="str">
        <f>IF(Table14[[#This Row],[Description]]="","",C45+1)</f>
        <v/>
      </c>
      <c r="D46" s="27"/>
      <c r="E46" s="28"/>
      <c r="F46" s="29"/>
      <c r="G46" s="29"/>
      <c r="H46" s="29"/>
      <c r="I46" s="50"/>
      <c r="J46" s="51"/>
      <c r="K46" s="52"/>
      <c r="L46" s="53"/>
      <c r="M46" s="50" t="str">
        <f>IF(Table14[[#This Row],[Progress %]]="","",Table14[[#This Row],[Progress %]]*Table14[[#This Row],[Value £]])</f>
        <v/>
      </c>
      <c r="N46" s="54"/>
    </row>
    <row r="47" s="4" customFormat="1" ht="65.15" customHeight="1" spans="2:14">
      <c r="B47" s="25"/>
      <c r="C47" s="26" t="str">
        <f>IF(Table14[[#This Row],[Description]]="","",C46+1)</f>
        <v/>
      </c>
      <c r="D47" s="27"/>
      <c r="E47" s="28"/>
      <c r="F47" s="29"/>
      <c r="G47" s="29"/>
      <c r="H47" s="29"/>
      <c r="I47" s="50"/>
      <c r="J47" s="51"/>
      <c r="K47" s="52"/>
      <c r="L47" s="53"/>
      <c r="M47" s="50" t="str">
        <f>IF(Table14[[#This Row],[Progress %]]="","",Table14[[#This Row],[Progress %]]*Table14[[#This Row],[Value £]])</f>
        <v/>
      </c>
      <c r="N47" s="54"/>
    </row>
    <row r="48" s="4" customFormat="1" ht="65.15" customHeight="1" spans="2:14">
      <c r="B48" s="25"/>
      <c r="C48" s="26" t="str">
        <f>IF(Table14[[#This Row],[Description]]="","",C47+1)</f>
        <v/>
      </c>
      <c r="D48" s="27"/>
      <c r="E48" s="28"/>
      <c r="F48" s="29"/>
      <c r="G48" s="29"/>
      <c r="H48" s="29"/>
      <c r="I48" s="50"/>
      <c r="J48" s="51"/>
      <c r="K48" s="52"/>
      <c r="L48" s="53"/>
      <c r="M48" s="50" t="str">
        <f>IF(Table14[[#This Row],[Progress %]]="","",Table14[[#This Row],[Progress %]]*Table14[[#This Row],[Value £]])</f>
        <v/>
      </c>
      <c r="N48" s="54"/>
    </row>
    <row r="49" s="4" customFormat="1" ht="65.15" customHeight="1" spans="2:14">
      <c r="B49" s="25"/>
      <c r="C49" s="26" t="str">
        <f>IF(Table14[[#This Row],[Description]]="","",C48+1)</f>
        <v/>
      </c>
      <c r="D49" s="27"/>
      <c r="E49" s="28"/>
      <c r="F49" s="29"/>
      <c r="G49" s="29"/>
      <c r="H49" s="29"/>
      <c r="I49" s="50"/>
      <c r="J49" s="51"/>
      <c r="K49" s="52"/>
      <c r="L49" s="53"/>
      <c r="M49" s="50" t="str">
        <f>IF(Table14[[#This Row],[Progress %]]="","",Table14[[#This Row],[Progress %]]*Table14[[#This Row],[Value £]])</f>
        <v/>
      </c>
      <c r="N49" s="54"/>
    </row>
    <row r="50" s="4" customFormat="1" ht="65.15" customHeight="1" spans="2:14">
      <c r="B50" s="25"/>
      <c r="C50" s="26" t="str">
        <f>IF(Table14[[#This Row],[Description]]="","",C49+1)</f>
        <v/>
      </c>
      <c r="D50" s="27"/>
      <c r="E50" s="28"/>
      <c r="F50" s="29"/>
      <c r="G50" s="29"/>
      <c r="H50" s="29"/>
      <c r="I50" s="50"/>
      <c r="J50" s="51"/>
      <c r="K50" s="52"/>
      <c r="L50" s="53"/>
      <c r="M50" s="50" t="str">
        <f>IF(Table14[[#This Row],[Progress %]]="","",Table14[[#This Row],[Progress %]]*Table14[[#This Row],[Value £]])</f>
        <v/>
      </c>
      <c r="N50" s="54"/>
    </row>
    <row r="51" s="4" customFormat="1" ht="65.15" customHeight="1" spans="2:14">
      <c r="B51" s="25"/>
      <c r="C51" s="26" t="str">
        <f>IF(Table14[[#This Row],[Description]]="","",C50+1)</f>
        <v/>
      </c>
      <c r="D51" s="27"/>
      <c r="E51" s="28"/>
      <c r="F51" s="29"/>
      <c r="G51" s="29"/>
      <c r="H51" s="29"/>
      <c r="I51" s="50"/>
      <c r="J51" s="51"/>
      <c r="K51" s="52"/>
      <c r="L51" s="53"/>
      <c r="M51" s="50" t="str">
        <f>IF(Table14[[#This Row],[Progress %]]="","",Table14[[#This Row],[Progress %]]*Table14[[#This Row],[Value £]])</f>
        <v/>
      </c>
      <c r="N51" s="54"/>
    </row>
    <row r="52" s="4" customFormat="1" ht="65.15" customHeight="1" spans="2:14">
      <c r="B52" s="25"/>
      <c r="C52" s="26" t="str">
        <f>IF(Table14[[#This Row],[Description]]="","",C51+1)</f>
        <v/>
      </c>
      <c r="D52" s="27"/>
      <c r="E52" s="28"/>
      <c r="F52" s="29"/>
      <c r="G52" s="29"/>
      <c r="H52" s="29"/>
      <c r="I52" s="50"/>
      <c r="J52" s="51"/>
      <c r="K52" s="52"/>
      <c r="L52" s="53"/>
      <c r="M52" s="50" t="str">
        <f>IF(Table14[[#This Row],[Progress %]]="","",Table14[[#This Row],[Progress %]]*Table14[[#This Row],[Value £]])</f>
        <v/>
      </c>
      <c r="N52" s="54"/>
    </row>
    <row r="53" s="4" customFormat="1" ht="65.15" customHeight="1" spans="2:14">
      <c r="B53" s="25"/>
      <c r="C53" s="26" t="str">
        <f>IF(Table14[[#This Row],[Description]]="","",C52+1)</f>
        <v/>
      </c>
      <c r="D53" s="27"/>
      <c r="E53" s="28"/>
      <c r="F53" s="29"/>
      <c r="G53" s="29"/>
      <c r="H53" s="29"/>
      <c r="I53" s="50"/>
      <c r="J53" s="51"/>
      <c r="K53" s="52"/>
      <c r="L53" s="53"/>
      <c r="M53" s="50" t="str">
        <f>IF(Table14[[#This Row],[Progress %]]="","",Table14[[#This Row],[Progress %]]*Table14[[#This Row],[Value £]])</f>
        <v/>
      </c>
      <c r="N53" s="54"/>
    </row>
    <row r="54" s="4" customFormat="1" ht="65.15" customHeight="1" spans="2:14">
      <c r="B54" s="25"/>
      <c r="C54" s="26" t="str">
        <f>IF(Table14[[#This Row],[Description]]="","",C53+1)</f>
        <v/>
      </c>
      <c r="D54" s="27"/>
      <c r="E54" s="28"/>
      <c r="F54" s="29"/>
      <c r="G54" s="29"/>
      <c r="H54" s="29" t="s">
        <v>24</v>
      </c>
      <c r="I54" s="50"/>
      <c r="J54" s="51"/>
      <c r="K54" s="52"/>
      <c r="L54" s="53"/>
      <c r="M54" s="50" t="str">
        <f>IF(Table14[[#This Row],[Progress %]]="","",Table14[[#This Row],[Progress %]]*Table14[[#This Row],[Value £]])</f>
        <v/>
      </c>
      <c r="N54" s="54"/>
    </row>
    <row r="55" s="4" customFormat="1" ht="65.15" customHeight="1" spans="2:14">
      <c r="B55" s="25"/>
      <c r="C55" s="26" t="str">
        <f>IF(Table14[[#This Row],[Description]]="","",C54+1)</f>
        <v/>
      </c>
      <c r="D55" s="27"/>
      <c r="E55" s="28"/>
      <c r="F55" s="29"/>
      <c r="G55" s="29"/>
      <c r="H55" s="29"/>
      <c r="I55" s="50"/>
      <c r="J55" s="51"/>
      <c r="K55" s="52"/>
      <c r="L55" s="53"/>
      <c r="M55" s="50" t="str">
        <f>IF(Table14[[#This Row],[Progress %]]="","",Table14[[#This Row],[Progress %]]*Table14[[#This Row],[Value £]])</f>
        <v/>
      </c>
      <c r="N55" s="54"/>
    </row>
    <row r="56" s="4" customFormat="1" ht="65.15" customHeight="1" spans="2:14">
      <c r="B56" s="25"/>
      <c r="C56" s="26" t="str">
        <f>IF(Table14[[#This Row],[Description]]="","",C55+1)</f>
        <v/>
      </c>
      <c r="D56" s="27"/>
      <c r="E56" s="28"/>
      <c r="F56" s="29"/>
      <c r="G56" s="29"/>
      <c r="H56" s="29"/>
      <c r="I56" s="50"/>
      <c r="J56" s="51"/>
      <c r="K56" s="52"/>
      <c r="L56" s="53"/>
      <c r="M56" s="50" t="str">
        <f>IF(Table14[[#This Row],[Progress %]]="","",Table14[[#This Row],[Progress %]]*Table14[[#This Row],[Value £]])</f>
        <v/>
      </c>
      <c r="N56" s="54"/>
    </row>
    <row r="57" s="4" customFormat="1" ht="65.15" customHeight="1" spans="2:14">
      <c r="B57" s="25"/>
      <c r="C57" s="26" t="str">
        <f>IF(Table14[[#This Row],[Description]]="","",C56+1)</f>
        <v/>
      </c>
      <c r="D57" s="27"/>
      <c r="E57" s="28"/>
      <c r="F57" s="29"/>
      <c r="G57" s="29"/>
      <c r="H57" s="29"/>
      <c r="I57" s="50"/>
      <c r="J57" s="51"/>
      <c r="K57" s="52"/>
      <c r="L57" s="53"/>
      <c r="M57" s="50" t="str">
        <f>IF(Table14[[#This Row],[Progress %]]="","",Table14[[#This Row],[Progress %]]*Table14[[#This Row],[Value £]])</f>
        <v/>
      </c>
      <c r="N57" s="54"/>
    </row>
    <row r="58" s="4" customFormat="1" ht="65.15" customHeight="1" spans="2:14">
      <c r="B58" s="25"/>
      <c r="C58" s="26" t="str">
        <f>IF(Table14[[#This Row],[Description]]="","",C57+1)</f>
        <v/>
      </c>
      <c r="D58" s="27"/>
      <c r="E58" s="28"/>
      <c r="F58" s="29"/>
      <c r="G58" s="29"/>
      <c r="H58" s="29"/>
      <c r="I58" s="50"/>
      <c r="J58" s="51"/>
      <c r="K58" s="52"/>
      <c r="L58" s="53"/>
      <c r="M58" s="50" t="str">
        <f>IF(Table14[[#This Row],[Progress %]]="","",Table14[[#This Row],[Progress %]]*Table14[[#This Row],[Value £]])</f>
        <v/>
      </c>
      <c r="N58" s="54"/>
    </row>
    <row r="59" s="4" customFormat="1" ht="65.15" customHeight="1" spans="2:14">
      <c r="B59" s="25"/>
      <c r="C59" s="26" t="str">
        <f>IF(Table14[[#This Row],[Description]]="","",C58+1)</f>
        <v/>
      </c>
      <c r="D59" s="27"/>
      <c r="E59" s="28"/>
      <c r="F59" s="29"/>
      <c r="G59" s="29"/>
      <c r="H59" s="29"/>
      <c r="I59" s="50"/>
      <c r="J59" s="51"/>
      <c r="K59" s="52"/>
      <c r="L59" s="53"/>
      <c r="M59" s="50" t="str">
        <f>IF(Table14[[#This Row],[Progress %]]="","",Table14[[#This Row],[Progress %]]*Table14[[#This Row],[Value £]])</f>
        <v/>
      </c>
      <c r="N59" s="54"/>
    </row>
    <row r="60" s="3" customFormat="1" ht="65.15" customHeight="1" spans="2:14">
      <c r="B60" s="25"/>
      <c r="C60" s="26" t="str">
        <f>IF(Table14[[#This Row],[Description]]="","",C59+1)</f>
        <v/>
      </c>
      <c r="D60" s="27"/>
      <c r="E60" s="28"/>
      <c r="F60" s="29"/>
      <c r="G60" s="29"/>
      <c r="H60" s="29"/>
      <c r="I60" s="50"/>
      <c r="J60" s="51"/>
      <c r="K60" s="52"/>
      <c r="L60" s="53"/>
      <c r="M60" s="50" t="str">
        <f>IF(Table14[[#This Row],[Progress %]]="","",Table14[[#This Row],[Progress %]]*Table14[[#This Row],[Value £]])</f>
        <v/>
      </c>
      <c r="N60" s="54"/>
    </row>
    <row r="61" s="3" customFormat="1" ht="65.15" customHeight="1" spans="2:14">
      <c r="B61" s="25"/>
      <c r="C61" s="26" t="str">
        <f>IF(Table14[[#This Row],[Description]]="","",C60+1)</f>
        <v/>
      </c>
      <c r="D61" s="27"/>
      <c r="E61" s="28"/>
      <c r="F61" s="29"/>
      <c r="G61" s="29"/>
      <c r="H61" s="29"/>
      <c r="I61" s="50"/>
      <c r="J61" s="51"/>
      <c r="K61" s="52"/>
      <c r="L61" s="53"/>
      <c r="M61" s="50" t="str">
        <f>IF(Table14[[#This Row],[Progress %]]="","",Table14[[#This Row],[Progress %]]*Table14[[#This Row],[Value £]])</f>
        <v/>
      </c>
      <c r="N61" s="54"/>
    </row>
    <row r="62" s="3" customFormat="1" ht="65.15" customHeight="1" spans="2:14">
      <c r="B62" s="25"/>
      <c r="C62" s="26" t="str">
        <f>IF(Table14[[#This Row],[Description]]="","",C61+1)</f>
        <v/>
      </c>
      <c r="D62" s="27"/>
      <c r="E62" s="28"/>
      <c r="F62" s="29"/>
      <c r="G62" s="29"/>
      <c r="H62" s="29"/>
      <c r="I62" s="50"/>
      <c r="J62" s="51"/>
      <c r="K62" s="52"/>
      <c r="L62" s="53"/>
      <c r="M62" s="50" t="str">
        <f>IF(Table14[[#This Row],[Progress %]]="","",Table14[[#This Row],[Progress %]]*Table14[[#This Row],[Value £]])</f>
        <v/>
      </c>
      <c r="N62" s="54"/>
    </row>
    <row r="63" s="3" customFormat="1" ht="65.15" customHeight="1" spans="2:14">
      <c r="B63" s="25"/>
      <c r="C63" s="26" t="str">
        <f>IF(Table14[[#This Row],[Description]]="","",C62+1)</f>
        <v/>
      </c>
      <c r="D63" s="27"/>
      <c r="E63" s="28"/>
      <c r="F63" s="29"/>
      <c r="G63" s="29"/>
      <c r="H63" s="29"/>
      <c r="I63" s="50"/>
      <c r="J63" s="51"/>
      <c r="K63" s="52"/>
      <c r="L63" s="53"/>
      <c r="M63" s="50" t="str">
        <f>IF(Table14[[#This Row],[Progress %]]="","",Table14[[#This Row],[Progress %]]*Table14[[#This Row],[Value £]])</f>
        <v/>
      </c>
      <c r="N63" s="54"/>
    </row>
    <row r="64" s="3" customFormat="1" ht="65.15" customHeight="1" spans="2:14">
      <c r="B64" s="25"/>
      <c r="C64" s="26" t="str">
        <f>IF(Table14[[#This Row],[Description]]="","",C63+1)</f>
        <v/>
      </c>
      <c r="D64" s="27"/>
      <c r="E64" s="28"/>
      <c r="F64" s="29"/>
      <c r="G64" s="29"/>
      <c r="H64" s="29"/>
      <c r="I64" s="50"/>
      <c r="J64" s="51"/>
      <c r="K64" s="59"/>
      <c r="L64" s="60"/>
      <c r="M64" s="61" t="str">
        <f>IF(Table14[[#This Row],[Progress %]]="","",Table14[[#This Row],[Progress %]]*Table14[[#This Row],[Value £]])</f>
        <v/>
      </c>
      <c r="N64" s="54"/>
    </row>
    <row r="65" s="3" customFormat="1" ht="65.15" customHeight="1" spans="2:14">
      <c r="B65" s="25"/>
      <c r="C65" s="26" t="str">
        <f>IF(Table14[[#This Row],[Description]]="","",C64+1)</f>
        <v/>
      </c>
      <c r="D65" s="27"/>
      <c r="E65" s="28"/>
      <c r="F65" s="29"/>
      <c r="G65" s="29"/>
      <c r="H65" s="29"/>
      <c r="I65" s="50"/>
      <c r="J65" s="51"/>
      <c r="K65" s="52"/>
      <c r="L65" s="53"/>
      <c r="M65" s="50" t="str">
        <f>IF(Table14[[#This Row],[Progress %]]="","",Table14[[#This Row],[Progress %]]*Table14[[#This Row],[Value £]])</f>
        <v/>
      </c>
      <c r="N65" s="54"/>
    </row>
    <row r="66" s="3" customFormat="1" ht="65.15" customHeight="1" spans="2:14">
      <c r="B66" s="25"/>
      <c r="C66" s="26" t="str">
        <f>IF(Table14[[#This Row],[Description]]="","",C65+1)</f>
        <v/>
      </c>
      <c r="D66" s="27"/>
      <c r="E66" s="28"/>
      <c r="F66" s="29"/>
      <c r="G66" s="29"/>
      <c r="H66" s="29"/>
      <c r="I66" s="50"/>
      <c r="J66" s="51"/>
      <c r="K66" s="52"/>
      <c r="L66" s="53"/>
      <c r="M66" s="50" t="str">
        <f>IF(Table14[[#This Row],[Progress %]]="","",Table14[[#This Row],[Progress %]]*Table14[[#This Row],[Value £]])</f>
        <v/>
      </c>
      <c r="N66" s="54"/>
    </row>
    <row r="67" s="3" customFormat="1" ht="65.15" customHeight="1" spans="2:14">
      <c r="B67" s="25"/>
      <c r="C67" s="26" t="str">
        <f>IF(Table14[[#This Row],[Description]]="","",C66+1)</f>
        <v/>
      </c>
      <c r="D67" s="27"/>
      <c r="E67" s="28"/>
      <c r="F67" s="29"/>
      <c r="G67" s="29"/>
      <c r="H67" s="29"/>
      <c r="I67" s="50"/>
      <c r="J67" s="51"/>
      <c r="K67" s="52"/>
      <c r="L67" s="53"/>
      <c r="M67" s="50" t="str">
        <f>IF(Table14[[#This Row],[Progress %]]="","",Table14[[#This Row],[Progress %]]*Table14[[#This Row],[Value £]])</f>
        <v/>
      </c>
      <c r="N67" s="54"/>
    </row>
    <row r="68" s="3" customFormat="1" ht="65.15" customHeight="1" spans="2:14">
      <c r="B68" s="25"/>
      <c r="C68" s="26" t="str">
        <f>IF(Table14[[#This Row],[Description]]="","",C67+1)</f>
        <v/>
      </c>
      <c r="D68" s="27"/>
      <c r="E68" s="28"/>
      <c r="F68" s="29"/>
      <c r="G68" s="29"/>
      <c r="H68" s="29"/>
      <c r="I68" s="50"/>
      <c r="J68" s="51"/>
      <c r="K68" s="52"/>
      <c r="L68" s="53"/>
      <c r="M68" s="50" t="str">
        <f>IF(Table14[[#This Row],[Progress %]]="","",Table14[[#This Row],[Progress %]]*Table14[[#This Row],[Value £]])</f>
        <v/>
      </c>
      <c r="N68" s="54"/>
    </row>
    <row r="69" s="3" customFormat="1" ht="65.15" customHeight="1" spans="2:14">
      <c r="B69" s="25"/>
      <c r="C69" s="26" t="str">
        <f>IF(Table14[[#This Row],[Description]]="","",C68+1)</f>
        <v/>
      </c>
      <c r="D69" s="27"/>
      <c r="E69" s="28"/>
      <c r="F69" s="29"/>
      <c r="G69" s="29"/>
      <c r="H69" s="29"/>
      <c r="I69" s="50"/>
      <c r="J69" s="51"/>
      <c r="K69" s="68"/>
      <c r="L69" s="69"/>
      <c r="M69" s="70" t="str">
        <f>IF(Table14[[#This Row],[Progress %]]="","",Table14[[#This Row],[Progress %]]*Table14[[#This Row],[Value £]])</f>
        <v/>
      </c>
      <c r="N69" s="54"/>
    </row>
    <row r="70" s="3" customFormat="1" ht="65.15" customHeight="1" spans="2:14">
      <c r="B70" s="25"/>
      <c r="C70" s="26" t="str">
        <f>IF(Table14[[#This Row],[Description]]="","",C69+1)</f>
        <v/>
      </c>
      <c r="D70" s="27"/>
      <c r="E70" s="28"/>
      <c r="F70" s="29"/>
      <c r="G70" s="29"/>
      <c r="H70" s="29"/>
      <c r="I70" s="50"/>
      <c r="J70" s="51"/>
      <c r="K70" s="52"/>
      <c r="L70" s="53"/>
      <c r="M70" s="50" t="str">
        <f>IF(Table14[[#This Row],[Progress %]]="","",Table14[[#This Row],[Progress %]]*Table14[[#This Row],[Value £]])</f>
        <v/>
      </c>
      <c r="N70" s="54"/>
    </row>
    <row r="71" s="3" customFormat="1" ht="65.15" customHeight="1" spans="2:14">
      <c r="B71" s="25"/>
      <c r="C71" s="26" t="str">
        <f>IF(Table14[[#This Row],[Description]]="","",C70+1)</f>
        <v/>
      </c>
      <c r="D71" s="27"/>
      <c r="E71" s="28"/>
      <c r="F71" s="29"/>
      <c r="G71" s="29"/>
      <c r="H71" s="29"/>
      <c r="I71" s="50"/>
      <c r="J71" s="51"/>
      <c r="K71" s="52"/>
      <c r="L71" s="53"/>
      <c r="M71" s="50" t="str">
        <f>IF(Table14[[#This Row],[Progress %]]="","",Table14[[#This Row],[Progress %]]*Table14[[#This Row],[Value £]])</f>
        <v/>
      </c>
      <c r="N71" s="54"/>
    </row>
    <row r="72" s="3" customFormat="1" ht="65.15" customHeight="1" spans="2:14">
      <c r="B72" s="25"/>
      <c r="C72" s="26" t="str">
        <f>IF(Table14[[#This Row],[Description]]="","",C71+1)</f>
        <v/>
      </c>
      <c r="D72" s="27"/>
      <c r="E72" s="28"/>
      <c r="F72" s="29"/>
      <c r="G72" s="29"/>
      <c r="H72" s="29"/>
      <c r="I72" s="50"/>
      <c r="J72" s="51"/>
      <c r="K72" s="52"/>
      <c r="L72" s="53"/>
      <c r="M72" s="50" t="str">
        <f>IF(Table14[[#This Row],[Progress %]]="","",Table14[[#This Row],[Progress %]]*Table14[[#This Row],[Value £]])</f>
        <v/>
      </c>
      <c r="N72" s="54"/>
    </row>
    <row r="73" s="3" customFormat="1" ht="65.15" customHeight="1" spans="2:14">
      <c r="B73" s="25"/>
      <c r="C73" s="26" t="str">
        <f>IF(Table14[[#This Row],[Description]]="","",C72+1)</f>
        <v/>
      </c>
      <c r="D73" s="27"/>
      <c r="E73" s="62"/>
      <c r="F73" s="29"/>
      <c r="G73" s="29"/>
      <c r="H73" s="29"/>
      <c r="I73" s="50"/>
      <c r="J73" s="51"/>
      <c r="K73" s="68"/>
      <c r="L73" s="69"/>
      <c r="M73" s="70" t="str">
        <f>IF(Table14[[#This Row],[Progress %]]="","",Table14[[#This Row],[Progress %]]*Table14[[#This Row],[Value £]])</f>
        <v/>
      </c>
      <c r="N73" s="54"/>
    </row>
    <row r="74" s="3" customFormat="1" ht="65.15" customHeight="1" spans="2:14">
      <c r="B74" s="25"/>
      <c r="C74" s="26" t="str">
        <f>IF(Table14[[#This Row],[Description]]="","",C73+1)</f>
        <v/>
      </c>
      <c r="D74" s="27"/>
      <c r="E74" s="28"/>
      <c r="F74" s="29"/>
      <c r="G74" s="29"/>
      <c r="H74" s="29"/>
      <c r="I74" s="50"/>
      <c r="J74" s="51"/>
      <c r="K74" s="52"/>
      <c r="L74" s="53"/>
      <c r="M74" s="50" t="str">
        <f>IF(Table14[[#This Row],[Progress %]]="","",Table14[[#This Row],[Progress %]]*Table14[[#This Row],[Value £]])</f>
        <v/>
      </c>
      <c r="N74" s="54"/>
    </row>
    <row r="75" s="3" customFormat="1" ht="65.15" customHeight="1" spans="2:14">
      <c r="B75" s="25"/>
      <c r="C75" s="26" t="str">
        <f>IF(Table14[[#This Row],[Description]]="","",C74+1)</f>
        <v/>
      </c>
      <c r="D75" s="27"/>
      <c r="E75" s="28"/>
      <c r="F75" s="29"/>
      <c r="G75" s="29"/>
      <c r="H75" s="29"/>
      <c r="I75" s="50"/>
      <c r="J75" s="51"/>
      <c r="K75" s="52"/>
      <c r="L75" s="53"/>
      <c r="M75" s="50" t="str">
        <f>IF(Table14[[#This Row],[Progress %]]="","",Table14[[#This Row],[Progress %]]*Table14[[#This Row],[Value £]])</f>
        <v/>
      </c>
      <c r="N75" s="54"/>
    </row>
    <row r="76" s="3" customFormat="1" ht="65.15" customHeight="1" spans="2:14">
      <c r="B76" s="25"/>
      <c r="C76" s="26" t="str">
        <f>IF(Table14[[#This Row],[Description]]="","",C75+1)</f>
        <v/>
      </c>
      <c r="D76" s="27"/>
      <c r="E76" s="28"/>
      <c r="F76" s="29"/>
      <c r="G76" s="29"/>
      <c r="H76" s="29"/>
      <c r="I76" s="50"/>
      <c r="J76" s="51"/>
      <c r="K76" s="52"/>
      <c r="L76" s="53"/>
      <c r="M76" s="50" t="str">
        <f>IF(Table14[[#This Row],[Progress %]]="","",Table14[[#This Row],[Progress %]]*Table14[[#This Row],[Value £]])</f>
        <v/>
      </c>
      <c r="N76" s="54"/>
    </row>
    <row r="77" s="3" customFormat="1" ht="65.15" customHeight="1" spans="2:14">
      <c r="B77" s="25"/>
      <c r="C77" s="26" t="str">
        <f>IF(Table14[[#This Row],[Description]]="","",C76+1)</f>
        <v/>
      </c>
      <c r="D77" s="27"/>
      <c r="E77" s="28"/>
      <c r="F77" s="29"/>
      <c r="G77" s="29"/>
      <c r="H77" s="29"/>
      <c r="I77" s="50"/>
      <c r="J77" s="51"/>
      <c r="K77" s="52"/>
      <c r="L77" s="53"/>
      <c r="M77" s="50" t="str">
        <f>IF(Table14[[#This Row],[Progress %]]="","",Table14[[#This Row],[Progress %]]*Table14[[#This Row],[Value £]])</f>
        <v/>
      </c>
      <c r="N77" s="54"/>
    </row>
    <row r="78" s="3" customFormat="1" ht="65.15" customHeight="1" spans="2:14">
      <c r="B78" s="25"/>
      <c r="C78" s="26" t="str">
        <f>IF(Table14[[#This Row],[Description]]="","",C77+1)</f>
        <v/>
      </c>
      <c r="D78" s="27"/>
      <c r="E78" s="28"/>
      <c r="F78" s="29"/>
      <c r="G78" s="29"/>
      <c r="H78" s="29"/>
      <c r="I78" s="50"/>
      <c r="J78" s="51"/>
      <c r="K78" s="52"/>
      <c r="L78" s="53"/>
      <c r="M78" s="50" t="str">
        <f>IF(Table14[[#This Row],[Progress %]]="","",Table14[[#This Row],[Progress %]]*Table14[[#This Row],[Value £]])</f>
        <v/>
      </c>
      <c r="N78" s="54"/>
    </row>
    <row r="79" s="3" customFormat="1" ht="65.15" customHeight="1" spans="2:14">
      <c r="B79" s="25"/>
      <c r="C79" s="26" t="str">
        <f>IF(Table14[[#This Row],[Description]]="","",C78+1)</f>
        <v/>
      </c>
      <c r="D79" s="27"/>
      <c r="E79" s="28"/>
      <c r="F79" s="29"/>
      <c r="G79" s="29"/>
      <c r="H79" s="29"/>
      <c r="I79" s="50"/>
      <c r="J79" s="51"/>
      <c r="K79" s="52"/>
      <c r="L79" s="53"/>
      <c r="M79" s="50" t="str">
        <f>IF(Table14[[#This Row],[Progress %]]="","",Table14[[#This Row],[Progress %]]*Table14[[#This Row],[Value £]])</f>
        <v/>
      </c>
      <c r="N79" s="54"/>
    </row>
    <row r="80" s="3" customFormat="1" ht="65.15" customHeight="1" spans="2:14">
      <c r="B80" s="25"/>
      <c r="C80" s="26" t="str">
        <f>IF(Table14[[#This Row],[Description]]="","",C79+1)</f>
        <v/>
      </c>
      <c r="D80" s="27"/>
      <c r="E80" s="28"/>
      <c r="F80" s="29"/>
      <c r="G80" s="29"/>
      <c r="H80" s="29"/>
      <c r="I80" s="50"/>
      <c r="J80" s="51"/>
      <c r="K80" s="52"/>
      <c r="L80" s="53"/>
      <c r="M80" s="50" t="str">
        <f>IF(Table14[[#This Row],[Progress %]]="","",Table14[[#This Row],[Progress %]]*Table14[[#This Row],[Value £]])</f>
        <v/>
      </c>
      <c r="N80" s="54"/>
    </row>
    <row r="81" s="3" customFormat="1" ht="65.15" customHeight="1" spans="2:14">
      <c r="B81" s="25"/>
      <c r="C81" s="26" t="str">
        <f>IF(Table14[[#This Row],[Description]]="","",C80+1)</f>
        <v/>
      </c>
      <c r="D81" s="27"/>
      <c r="E81" s="28"/>
      <c r="F81" s="29"/>
      <c r="G81" s="29"/>
      <c r="H81" s="29"/>
      <c r="I81" s="50"/>
      <c r="J81" s="51"/>
      <c r="K81" s="52"/>
      <c r="L81" s="53"/>
      <c r="M81" s="50" t="str">
        <f>IF(Table14[[#This Row],[Progress %]]="","",Table14[[#This Row],[Progress %]]*Table14[[#This Row],[Value £]])</f>
        <v/>
      </c>
      <c r="N81" s="54"/>
    </row>
    <row r="82" s="3" customFormat="1" ht="65.15" customHeight="1" spans="2:14">
      <c r="B82" s="25"/>
      <c r="C82" s="26" t="str">
        <f>IF(Table14[[#This Row],[Description]]="","",C81+1)</f>
        <v/>
      </c>
      <c r="D82" s="27"/>
      <c r="E82" s="28"/>
      <c r="F82" s="29"/>
      <c r="G82" s="29"/>
      <c r="H82" s="29"/>
      <c r="I82" s="50"/>
      <c r="J82" s="51"/>
      <c r="K82" s="52"/>
      <c r="L82" s="53"/>
      <c r="M82" s="50" t="str">
        <f>IF(Table14[[#This Row],[Progress %]]="","",Table14[[#This Row],[Progress %]]*Table14[[#This Row],[Value £]])</f>
        <v/>
      </c>
      <c r="N82" s="54"/>
    </row>
    <row r="83" s="3" customFormat="1" ht="65.15" customHeight="1" spans="2:14">
      <c r="B83" s="25"/>
      <c r="C83" s="26" t="str">
        <f>IF(Table14[[#This Row],[Description]]="","",C82+1)</f>
        <v/>
      </c>
      <c r="D83" s="27"/>
      <c r="E83" s="28"/>
      <c r="F83" s="29"/>
      <c r="G83" s="29"/>
      <c r="H83" s="29"/>
      <c r="I83" s="50"/>
      <c r="J83" s="51"/>
      <c r="K83" s="52"/>
      <c r="L83" s="53"/>
      <c r="M83" s="50" t="str">
        <f>IF(Table14[[#This Row],[Progress %]]="","",Table14[[#This Row],[Progress %]]*Table14[[#This Row],[Value £]])</f>
        <v/>
      </c>
      <c r="N83" s="54"/>
    </row>
    <row r="84" s="3" customFormat="1" ht="65.15" customHeight="1" spans="2:14">
      <c r="B84" s="25"/>
      <c r="C84" s="26" t="str">
        <f>IF(Table14[[#This Row],[Description]]="","",C83+1)</f>
        <v/>
      </c>
      <c r="D84" s="27"/>
      <c r="E84" s="28"/>
      <c r="F84" s="29"/>
      <c r="G84" s="29"/>
      <c r="H84" s="29"/>
      <c r="I84" s="50"/>
      <c r="J84" s="51"/>
      <c r="K84" s="52"/>
      <c r="L84" s="53"/>
      <c r="M84" s="50" t="str">
        <f>IF(Table14[[#This Row],[Progress %]]="","",Table14[[#This Row],[Progress %]]*Table14[[#This Row],[Value £]])</f>
        <v/>
      </c>
      <c r="N84" s="54"/>
    </row>
    <row r="85" s="3" customFormat="1" ht="65.15" customHeight="1" spans="2:14">
      <c r="B85" s="25"/>
      <c r="C85" s="26" t="str">
        <f>IF(Table14[[#This Row],[Description]]="","",C84+1)</f>
        <v/>
      </c>
      <c r="D85" s="27"/>
      <c r="E85" s="28"/>
      <c r="F85" s="29"/>
      <c r="G85" s="29"/>
      <c r="H85" s="29"/>
      <c r="I85" s="50"/>
      <c r="J85" s="51"/>
      <c r="K85" s="52"/>
      <c r="L85" s="53"/>
      <c r="M85" s="50" t="str">
        <f>IF(Table14[[#This Row],[Progress %]]="","",Table14[[#This Row],[Progress %]]*Table14[[#This Row],[Value £]])</f>
        <v/>
      </c>
      <c r="N85" s="54"/>
    </row>
    <row r="86" s="3" customFormat="1" ht="65.15" customHeight="1" spans="2:14">
      <c r="B86" s="25"/>
      <c r="C86" s="26" t="str">
        <f>IF(Table14[[#This Row],[Description]]="","",C85+1)</f>
        <v/>
      </c>
      <c r="D86" s="27"/>
      <c r="E86" s="28"/>
      <c r="F86" s="29"/>
      <c r="G86" s="29"/>
      <c r="H86" s="29"/>
      <c r="I86" s="50"/>
      <c r="J86" s="51"/>
      <c r="K86" s="52"/>
      <c r="L86" s="53"/>
      <c r="M86" s="50" t="str">
        <f>IF(Table14[[#This Row],[Progress %]]="","",Table14[[#This Row],[Progress %]]*Table14[[#This Row],[Value £]])</f>
        <v/>
      </c>
      <c r="N86" s="54"/>
    </row>
    <row r="87" s="3" customFormat="1" ht="65.15" customHeight="1" spans="2:14">
      <c r="B87" s="25"/>
      <c r="C87" s="26" t="str">
        <f>IF(Table14[[#This Row],[Description]]="","",C86+1)</f>
        <v/>
      </c>
      <c r="D87" s="27"/>
      <c r="E87" s="28"/>
      <c r="F87" s="29"/>
      <c r="G87" s="29"/>
      <c r="H87" s="29"/>
      <c r="I87" s="50"/>
      <c r="J87" s="51"/>
      <c r="K87" s="52"/>
      <c r="L87" s="53"/>
      <c r="M87" s="50" t="str">
        <f>IF(Table14[[#This Row],[Progress %]]="","",Table14[[#This Row],[Progress %]]*Table14[[#This Row],[Value £]])</f>
        <v/>
      </c>
      <c r="N87" s="54"/>
    </row>
    <row r="88" s="3" customFormat="1" ht="65.15" customHeight="1" spans="2:14">
      <c r="B88" s="25"/>
      <c r="C88" s="26" t="str">
        <f>IF(Table14[[#This Row],[Description]]="","",C87+1)</f>
        <v/>
      </c>
      <c r="D88" s="27"/>
      <c r="E88" s="28"/>
      <c r="F88" s="29"/>
      <c r="G88" s="29"/>
      <c r="H88" s="29"/>
      <c r="I88" s="50"/>
      <c r="J88" s="51"/>
      <c r="K88" s="52"/>
      <c r="L88" s="53"/>
      <c r="M88" s="50" t="str">
        <f>IF(Table14[[#This Row],[Progress %]]="","",Table14[[#This Row],[Progress %]]*Table14[[#This Row],[Value £]])</f>
        <v/>
      </c>
      <c r="N88" s="54"/>
    </row>
    <row r="89" s="3" customFormat="1" ht="65.15" customHeight="1" spans="2:14">
      <c r="B89" s="63"/>
      <c r="C89" s="64" t="str">
        <f>IF(Table14[[#This Row],[Description]]="","",C88+1)</f>
        <v/>
      </c>
      <c r="D89" s="65"/>
      <c r="E89" s="66"/>
      <c r="F89" s="67"/>
      <c r="G89" s="67"/>
      <c r="H89" s="67"/>
      <c r="I89" s="71"/>
      <c r="J89" s="72"/>
      <c r="K89" s="73"/>
      <c r="L89" s="74"/>
      <c r="M89" s="71" t="str">
        <f>IF(Table14[[#This Row],[Progress %]]="","",Table14[[#This Row],[Progress %]]*Table14[[#This Row],[Value £]])</f>
        <v/>
      </c>
      <c r="N89" s="54"/>
    </row>
  </sheetData>
  <mergeCells count="2">
    <mergeCell ref="I2:J2"/>
    <mergeCell ref="C10:D10"/>
  </mergeCells>
  <conditionalFormatting sqref="I14:I89">
    <cfRule type="cellIs" dxfId="24" priority="2" operator="equal">
      <formula>"Agreed"</formula>
    </cfRule>
  </conditionalFormatting>
  <conditionalFormatting sqref="F48:G48 F49:H1048576 F13:H47">
    <cfRule type="cellIs" dxfId="25" priority="3" operator="equal">
      <formula>"tbc"</formula>
    </cfRule>
  </conditionalFormatting>
  <conditionalFormatting sqref="F14:G19 F20:F21">
    <cfRule type="expression" priority="1">
      <formula>$H14="Agreed"</formula>
    </cfRule>
  </conditionalFormatting>
  <dataValidations count="2">
    <dataValidation type="list" allowBlank="1" showInputMessage="1" showErrorMessage="1" sqref="G14:G89">
      <formula1>"Yes,No"</formula1>
    </dataValidation>
    <dataValidation type="list" allowBlank="1" showInputMessage="1" showErrorMessage="1" sqref="I14:I89">
      <formula1>"Agreed, To be Agreed"</formula1>
    </dataValidation>
  </dataValidations>
  <printOptions horizontalCentered="1"/>
  <pageMargins left="0.708661417322835" right="0.708661417322835" top="0.748031496062992" bottom="0.748031496062992" header="0.31496062992126" footer="0.31496062992126"/>
  <pageSetup paperSize="8" scale="20" fitToHeight="0" orientation="portrait"/>
  <headerFooter>
    <oddHeader>&amp;R&amp;G</oddHeader>
  </headerFooter>
  <drawing r:id="rId1"/>
  <legacyDrawingHF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AFP Summary</vt:lpstr>
      <vt:lpstr>BoQ_Summary</vt:lpstr>
      <vt:lpstr>BoQ_Detailed </vt:lpstr>
      <vt:lpstr>Variation Register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Thompson</dc:creator>
  <cp:lastModifiedBy>Web Dev</cp:lastModifiedBy>
  <dcterms:created xsi:type="dcterms:W3CDTF">2023-08-20T20:32:00Z</dcterms:created>
  <cp:lastPrinted>2024-10-01T15:29:00Z</cp:lastPrinted>
  <dcterms:modified xsi:type="dcterms:W3CDTF">2024-10-24T12:32:10Z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6a19a3c-d4d4-4e32-a670-fc3de26ce321_Enabled">
    <vt:lpwstr>true</vt:lpwstr>
  </property>
  <property fmtid="{D5CDD505-2E9C-101B-9397-08002B2CF9AE}" pid="3" name="MSIP_Label_b6a19a3c-d4d4-4e32-a670-fc3de26ce321_SetDate">
    <vt:lpwstr>2023-08-20T20:43:10Z</vt:lpwstr>
  </property>
  <property fmtid="{D5CDD505-2E9C-101B-9397-08002B2CF9AE}" pid="4" name="MSIP_Label_b6a19a3c-d4d4-4e32-a670-fc3de26ce321_Method">
    <vt:lpwstr>Standard</vt:lpwstr>
  </property>
  <property fmtid="{D5CDD505-2E9C-101B-9397-08002B2CF9AE}" pid="5" name="MSIP_Label_b6a19a3c-d4d4-4e32-a670-fc3de26ce321_Name">
    <vt:lpwstr>Internal</vt:lpwstr>
  </property>
  <property fmtid="{D5CDD505-2E9C-101B-9397-08002B2CF9AE}" pid="6" name="MSIP_Label_b6a19a3c-d4d4-4e32-a670-fc3de26ce321_SiteId">
    <vt:lpwstr>ef79b864-6cc8-4d57-9f7f-93c8ecca1fe7</vt:lpwstr>
  </property>
  <property fmtid="{D5CDD505-2E9C-101B-9397-08002B2CF9AE}" pid="7" name="MSIP_Label_b6a19a3c-d4d4-4e32-a670-fc3de26ce321_ActionId">
    <vt:lpwstr>009cfd87-41ca-46dd-9184-54ce0f0fd08e</vt:lpwstr>
  </property>
  <property fmtid="{D5CDD505-2E9C-101B-9397-08002B2CF9AE}" pid="8" name="MSIP_Label_b6a19a3c-d4d4-4e32-a670-fc3de26ce321_ContentBits">
    <vt:lpwstr>2</vt:lpwstr>
  </property>
  <property fmtid="{D5CDD505-2E9C-101B-9397-08002B2CF9AE}" pid="9" name="ICV">
    <vt:lpwstr>93E077FA64F7441581AF57A77968A76A_12</vt:lpwstr>
  </property>
  <property fmtid="{D5CDD505-2E9C-101B-9397-08002B2CF9AE}" pid="10" name="KSOProductBuildVer">
    <vt:lpwstr>1033-12.2.0.18607</vt:lpwstr>
  </property>
</Properties>
</file>