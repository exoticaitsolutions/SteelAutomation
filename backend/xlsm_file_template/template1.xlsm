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58.jpeg" ContentType="image/jpeg"/>
  <Override PartName="/xl/media/image59.png" ContentType="image/png"/>
  <Override PartName="/xl/media/image60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AFP Summary" sheetId="1" state="visible" r:id="rId3"/>
    <sheet name="BoQ_Summary" sheetId="2" state="visible" r:id="rId4"/>
    <sheet name="BoQ_Detailed " sheetId="3" state="visible" r:id="rId5"/>
    <sheet name="Variation Register" sheetId="4" state="visible" r:id="rId6"/>
  </sheets>
  <externalReferences>
    <externalReference r:id="rId7"/>
    <externalReference r:id="rId8"/>
  </externalReference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BoQ_Summary!$A$1:$K$12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Rates'!$B$1:$B$1048576</definedName>
    <definedName function="false" hidden="false" name="LabourList1" vbProcedure="false">'[2]Daywork Rates'!$B$1:$B$1048576</definedName>
    <definedName function="false" hidden="false" name="PlantList" vbProcedure="false">'[1]Daywork Rates'!$G$1:$G$1048576</definedName>
    <definedName function="false" hidden="false" name="PlantList1" vbProcedure="false">'[2]Daywork Rates'!$G$1:$G$1048576</definedName>
    <definedName function="false" hidden="false" localSheetId="2" name="_xlnm.Print_Area" vbProcedure="false">Table18[#all]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<sst xmlns="http://schemas.openxmlformats.org/spreadsheetml/2006/main" count="97" uniqueCount="75">
  <si>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</si>
  <si>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</si>
  <si>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</si>
  <si>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</si>
  <si>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</si>
  <si>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</si>
  <si>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</si>
  <si>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</si>
  <si>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</si>
  <si>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</si>
  <si>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</si>
  <si>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</si>
  <si>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</si>
  <si>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</si>
  <si>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</si>
  <si>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</si>
  <si>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</si>
  <si>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</si>
  <si>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</si>
  <si>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</si>
  <si>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</si>
  <si>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</si>
  <si>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Progress Total</t>
  </si>
  <si>
    <t xml:space="preserve"> 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</si>
  <si>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</si>
  <si>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</si>
  <si>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</si>
  <si>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</si>
  <si>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</si>
  <si>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</si>
  <si>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</si>
  <si>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</si>
  <si>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</si>
  <si>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Galv</t>
  </si>
  <si>
    <t xml:space="preserve">Ref 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</si>
  <si>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</si>
  <si>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</si>
  <si>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</si>
  <si>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</si>
  <si>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</si>
  <si>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</si>
  <si>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</si>
  <si>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</si>
  <si>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</si>
  <si>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</si>
  <si>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</si>
  <si>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Total Result</t>
  </si>
  <si>
    <t xml:space="preserve">beams; member profile 50 - 100kg/m</t>
  </si>
  <si>
    <t xml:space="preserve">stanchions; member profile 25 - 50kg/m</t>
  </si>
  <si>
    <t xml:space="preserve">Total: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</si>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</sst>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0"/>
    <numFmt numFmtId="172" formatCode="_-\£* #,##0_-;&quot;-£&quot;* #,##0_-;_-\£* \-??_-;_-@_-"/>
    <numFmt numFmtId="173" formatCode="\£#,##0"/>
    <numFmt numFmtId="174" formatCode="0&quot; no.&quot;"/>
    <numFmt numFmtId="175" formatCode="0.0%"/>
    <numFmt numFmtId="176" formatCode="\£#,##0.00"/>
    <numFmt numFmtId="177" formatCode="0.000"/>
    <numFmt numFmtId="178" formatCode="0.000&quot; tn&quot;"/>
    <numFmt numFmtId="179" formatCode="0&quot; KG&quot;"/>
    <numFmt numFmtId="180" formatCode="0&quot; kg&quot;"/>
    <numFmt numFmtId="181" formatCode="&quot;SI &quot;0"/>
    <numFmt numFmtId="182" formatCode="0.00%"/>
    <numFmt numFmtId="183" formatCode="&quot;SI 0&quot;0"/>
    <numFmt numFmtId="184" formatCode="General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18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3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13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3" fillId="0" borderId="4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5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4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3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4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9" fillId="0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4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19" fillId="4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4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4" borderId="6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1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4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4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4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4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4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4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4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4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23" fillId="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4" borderId="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4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4" fontId="14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4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15" fillId="0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6" fontId="27" fillId="5" borderId="5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2" fontId="28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76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5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1" fillId="5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1" fillId="5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1" fillId="5" borderId="1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1" fillId="5" borderId="10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1" fontId="32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33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2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2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3" fillId="0" borderId="1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15" shrinkToFit="true"/>
      <protection locked="true" hidden="false"/>
    </xf>
    <xf numFmtId="178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36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5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5" borderId="1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9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1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6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5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9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4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31" fillId="5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31" fillId="5" borderId="1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6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66" fontId="44" fillId="0" borderId="0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6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6" borderId="2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46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47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8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49" fillId="7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15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49" fillId="0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82" fontId="49" fillId="0" borderId="21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49" fillId="0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6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4" fillId="0" borderId="21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47" fillId="0" borderId="2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2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4" fontId="49" fillId="0" borderId="2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56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8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3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6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60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6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3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4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7" xfId="19" applyFont="true" applyBorder="true" applyAlignment="true" applyProtection="true">
      <alignment horizontal="left" vertical="center" textRotation="0" wrapText="false" indent="15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58.jpeg"/><Relationship Id="rId2" Type="http://schemas.openxmlformats.org/officeDocument/2006/relationships/image" Target="../media/image59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60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360</xdr:rowOff>
    </xdr:from>
    <xdr:to>
      <xdr:col>7</xdr:col>
      <xdr:colOff>3225600</xdr:colOff>
      <xdr:row>5</xdr:row>
      <xdr:rowOff>93240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116280" y="165240"/>
          <a:ext cx="3820320" cy="13215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1602000</xdr:colOff>
      <xdr:row>31</xdr:row>
      <xdr:rowOff>132840</xdr:rowOff>
    </xdr:from>
    <xdr:to>
      <xdr:col>7</xdr:col>
      <xdr:colOff>519120</xdr:colOff>
      <xdr:row>36</xdr:row>
      <xdr:rowOff>127800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77240" y="11791800"/>
          <a:ext cx="7652880" cy="10479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2771280</xdr:colOff>
      <xdr:row>4</xdr:row>
      <xdr:rowOff>408960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840" y="373320"/>
          <a:ext cx="4430520" cy="208764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3" createdVersion="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1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">
        <s v="Steelwork Supply &amp; Install"/>
        <m/>
      </sharedItems>
    </cacheField>
    <cacheField name="Cat" numFmtId="0">
      <sharedItems containsString="0" containsBlank="1" count="1">
        <m/>
      </sharedItems>
    </cacheField>
    <cacheField name="Type" numFmtId="0">
      <sharedItems containsString="0" containsBlank="1" count="1">
        <m/>
      </sharedItems>
    </cacheField>
    <cacheField name="Zone" numFmtId="0">
      <sharedItems containsString="0" containsBlank="1" count="1">
        <m/>
      </sharedItems>
    </cacheField>
    <cacheField name="ACW" numFmtId="0">
      <sharedItems containsString="0" containsBlank="1" count="1">
        <m/>
      </sharedItems>
    </cacheField>
    <cacheField name="Pcs" numFmtId="0">
      <sharedItems containsString="0" containsBlank="1" count="1">
        <m/>
      </sharedItems>
    </cacheField>
    <cacheField name="QTY" numFmtId="0">
      <sharedItems containsString="0" containsBlank="1" count="1">
        <m/>
      </sharedItems>
    </cacheField>
    <cacheField name="Unit" numFmtId="0">
      <sharedItems containsString="0" containsBlank="1" count="1">
        <m/>
      </sharedItems>
    </cacheField>
    <cacheField name="Rate " numFmtId="0">
      <sharedItems containsBlank="1" count="2">
        <s v="Total:"/>
        <m/>
      </sharedItems>
    </cacheField>
    <cacheField name="Total " numFmtId="0">
      <sharedItems containsString="0" containsBlank="1" containsNumber="1" minValue="255083.791" maxValue="255083.791" count="2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N5" firstHeaderRow="1" firstDataRow="1" firstDataCol="1"/>
  <pivotFields count="11">
    <pivotField compact="0" showAll="0"/>
    <pivotField compact="0" showAll="0"/>
    <pivotField axis="axisRow" compact="0" showAll="0">
      <items count="2">
        <item h="1" x="0"/>
        <item t="default"/>
      </items>
    </pivotField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22" colorId="64" zoomScale="86" zoomScaleNormal="86" zoomScalePageLayoutView="86" workbookViewId="0">
      <selection pane="topLeft" activeCell="H12" activeCellId="0" sqref="H12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true" hidden="false" outlineLevel="0" max="2" min="2" style="1" width="8.7"/>
    <col collapsed="false" customWidth="true" hidden="false" outlineLevel="0" max="3" min="3" style="2" width="18.98"/>
    <col collapsed="false" customWidth="true" hidden="false" outlineLevel="0" max="4" min="4" style="2" width="20.51"/>
    <col collapsed="false" customWidth="true" hidden="false" outlineLevel="0" max="5" min="5" style="3" width="19.28"/>
    <col collapsed="false" customWidth="true" hidden="false" outlineLevel="0" max="6" min="6" style="4" width="19.22"/>
    <col collapsed="false" customWidth="true" hidden="false" outlineLevel="0" max="7" min="7" style="5" width="20.25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7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1"/>
      <c r="H8" s="22" t="s">
        <v>7</v>
      </c>
      <c r="I8" s="23"/>
    </row>
    <row r="9" s="24" customFormat="true" ht="25.15" hidden="false" customHeight="true" outlineLevel="0" collapsed="false">
      <c r="B9" s="25" t="s">
        <v>8</v>
      </c>
      <c r="C9" s="26"/>
      <c r="D9" s="27"/>
      <c r="E9" s="28"/>
      <c r="F9" s="29" t="s">
        <v>9</v>
      </c>
      <c r="G9" s="30"/>
      <c r="H9" s="31" t="n">
        <v>1</v>
      </c>
      <c r="I9" s="32"/>
    </row>
    <row r="10" s="24" customFormat="true" ht="25.15" hidden="false" customHeight="true" outlineLevel="0" collapsed="false">
      <c r="B10" s="33" t="s">
        <v>10</v>
      </c>
      <c r="C10" s="34"/>
      <c r="D10" s="34"/>
      <c r="E10" s="28"/>
      <c r="F10" s="29" t="s">
        <v>11</v>
      </c>
      <c r="G10" s="35"/>
      <c r="H10" s="36" t="n">
        <v>45565</v>
      </c>
      <c r="I10" s="23"/>
    </row>
    <row r="11" s="24" customFormat="true" ht="25.15" hidden="false" customHeight="true" outlineLevel="0" collapsed="false">
      <c r="B11" s="33" t="s">
        <v>12</v>
      </c>
      <c r="C11" s="34"/>
      <c r="D11" s="34"/>
      <c r="E11" s="28"/>
      <c r="F11" s="29" t="s">
        <v>13</v>
      </c>
      <c r="G11" s="35"/>
      <c r="H11" s="37"/>
      <c r="I11" s="23"/>
    </row>
    <row r="12" s="24" customFormat="true" ht="25.15" hidden="false" customHeight="true" outlineLevel="0" collapsed="false">
      <c r="B12" s="38"/>
      <c r="C12" s="39"/>
      <c r="D12" s="39"/>
      <c r="E12" s="28"/>
      <c r="F12" s="40" t="s">
        <v>14</v>
      </c>
      <c r="G12" s="41"/>
      <c r="H12" s="42"/>
      <c r="I12" s="23"/>
      <c r="M12" s="43"/>
    </row>
    <row r="13" s="24" customFormat="true" ht="19.9" hidden="false" customHeight="true" outlineLevel="0" collapsed="false">
      <c r="B13" s="33"/>
      <c r="D13" s="44"/>
      <c r="E13" s="28"/>
      <c r="F13" s="33"/>
      <c r="G13" s="33"/>
      <c r="H13" s="23"/>
      <c r="I13" s="23"/>
      <c r="M13" s="43"/>
    </row>
    <row r="14" s="24" customFormat="true" ht="40.15" hidden="false" customHeight="true" outlineLevel="0" collapsed="false">
      <c r="B14" s="45" t="s">
        <v>15</v>
      </c>
      <c r="C14" s="46" t="s">
        <v>16</v>
      </c>
      <c r="D14" s="46" t="s">
        <v>17</v>
      </c>
      <c r="E14" s="47" t="s">
        <v>18</v>
      </c>
      <c r="F14" s="48" t="s">
        <v>19</v>
      </c>
      <c r="G14" s="49" t="s">
        <v>20</v>
      </c>
      <c r="H14" s="50" t="s">
        <v>21</v>
      </c>
      <c r="I14" s="50"/>
    </row>
    <row r="15" s="24" customFormat="true" ht="39.75" hidden="false" customHeight="true" outlineLevel="0" collapsed="false">
      <c r="B15" s="51" t="n">
        <v>1</v>
      </c>
      <c r="C15" s="52"/>
      <c r="D15" s="53"/>
      <c r="E15" s="54"/>
      <c r="F15" s="55"/>
      <c r="G15" s="54"/>
      <c r="H15" s="56"/>
      <c r="I15" s="56"/>
    </row>
    <row r="16" s="24" customFormat="true" ht="39.75" hidden="false" customHeight="true" outlineLevel="0" collapsed="false">
      <c r="B16" s="51" t="n">
        <v>2</v>
      </c>
      <c r="C16" s="57"/>
      <c r="D16" s="58"/>
      <c r="E16" s="54"/>
      <c r="F16" s="55"/>
      <c r="G16" s="54"/>
      <c r="H16" s="56"/>
      <c r="I16" s="56"/>
    </row>
    <row r="17" s="24" customFormat="true" ht="39.75" hidden="false" customHeight="true" outlineLevel="0" collapsed="false">
      <c r="B17" s="51" t="n">
        <v>3</v>
      </c>
      <c r="C17" s="59"/>
      <c r="D17" s="60"/>
      <c r="E17" s="54"/>
      <c r="F17" s="55"/>
      <c r="G17" s="54"/>
      <c r="H17" s="56"/>
      <c r="I17" s="56"/>
    </row>
    <row r="18" s="24" customFormat="true" ht="39.75" hidden="false" customHeight="true" outlineLevel="0" collapsed="false">
      <c r="B18" s="51" t="n">
        <v>4</v>
      </c>
      <c r="C18" s="61"/>
      <c r="D18" s="58"/>
      <c r="E18" s="54"/>
      <c r="F18" s="55"/>
      <c r="G18" s="54"/>
      <c r="H18" s="56"/>
      <c r="I18" s="56"/>
    </row>
    <row r="19" s="24" customFormat="true" ht="39.75" hidden="false" customHeight="true" outlineLevel="0" collapsed="false">
      <c r="B19" s="51" t="n">
        <v>5</v>
      </c>
      <c r="C19" s="62"/>
      <c r="D19" s="63"/>
      <c r="E19" s="54"/>
      <c r="F19" s="55"/>
      <c r="G19" s="54"/>
      <c r="H19" s="56"/>
      <c r="I19" s="64"/>
    </row>
    <row r="20" s="24" customFormat="true" ht="39.75" hidden="false" customHeight="true" outlineLevel="0" collapsed="false">
      <c r="B20" s="51"/>
      <c r="C20" s="62"/>
      <c r="D20" s="63"/>
      <c r="E20" s="65"/>
      <c r="F20" s="55"/>
      <c r="G20" s="65"/>
      <c r="H20" s="56"/>
      <c r="I20" s="64"/>
    </row>
    <row r="21" s="24" customFormat="true" ht="39.75" hidden="false" customHeight="true" outlineLevel="0" collapsed="false">
      <c r="B21" s="51"/>
      <c r="C21" s="62"/>
      <c r="D21" s="63"/>
      <c r="E21" s="66"/>
      <c r="F21" s="55"/>
      <c r="G21" s="66"/>
      <c r="H21" s="64"/>
      <c r="I21" s="64"/>
    </row>
    <row r="22" s="24" customFormat="true" ht="39.75" hidden="false" customHeight="true" outlineLevel="0" collapsed="false">
      <c r="B22" s="51"/>
      <c r="C22" s="62"/>
      <c r="D22" s="63"/>
      <c r="E22" s="66"/>
      <c r="F22" s="55"/>
      <c r="G22" s="66"/>
      <c r="H22" s="64"/>
      <c r="I22" s="64"/>
    </row>
    <row r="23" s="24" customFormat="true" ht="39.75" hidden="false" customHeight="true" outlineLevel="0" collapsed="false">
      <c r="B23" s="51"/>
      <c r="C23" s="67"/>
      <c r="D23" s="67"/>
      <c r="E23" s="68"/>
      <c r="F23" s="55"/>
      <c r="G23" s="68"/>
      <c r="H23" s="69"/>
      <c r="I23" s="69"/>
    </row>
    <row r="24" s="70" customFormat="true" ht="40.5" hidden="false" customHeight="true" outlineLevel="0" collapsed="false">
      <c r="B24" s="71"/>
      <c r="C24" s="72"/>
      <c r="D24" s="73" t="s">
        <v>18</v>
      </c>
      <c r="E24" s="74" t="n">
        <f aca="false">SUM(E12:E23)</f>
        <v>0</v>
      </c>
      <c r="F24" s="75" t="s">
        <v>22</v>
      </c>
      <c r="G24" s="74" t="n">
        <f aca="false">SUM(G12:G23)</f>
        <v>0</v>
      </c>
      <c r="H24" s="76"/>
      <c r="I24" s="76"/>
    </row>
    <row r="25" s="24" customFormat="true" ht="15" hidden="false" customHeight="true" outlineLevel="0" collapsed="false">
      <c r="B25" s="77"/>
      <c r="C25" s="77"/>
      <c r="D25" s="78"/>
      <c r="E25" s="79"/>
      <c r="F25" s="80"/>
      <c r="G25" s="81"/>
      <c r="H25" s="82"/>
      <c r="I25" s="82"/>
    </row>
    <row r="26" s="70" customFormat="true" ht="30" hidden="false" customHeight="true" outlineLevel="0" collapsed="false">
      <c r="B26" s="44"/>
      <c r="C26" s="44"/>
      <c r="D26" s="83"/>
      <c r="E26" s="84"/>
      <c r="F26" s="21"/>
      <c r="G26" s="21"/>
      <c r="H26" s="85"/>
      <c r="I26" s="85"/>
    </row>
    <row r="27" s="70" customFormat="true" ht="30" hidden="false" customHeight="true" outlineLevel="0" collapsed="false">
      <c r="B27" s="44"/>
      <c r="C27" s="44"/>
      <c r="D27" s="83"/>
      <c r="E27" s="84"/>
      <c r="F27" s="35"/>
      <c r="G27" s="35"/>
      <c r="H27" s="86"/>
      <c r="I27" s="86"/>
      <c r="R27" s="70" t="s">
        <v>23</v>
      </c>
    </row>
    <row r="28" s="70" customFormat="true" ht="30" hidden="false" customHeight="true" outlineLevel="0" collapsed="false">
      <c r="B28" s="44"/>
      <c r="C28" s="44"/>
      <c r="D28" s="44"/>
      <c r="E28" s="87"/>
      <c r="F28" s="35"/>
      <c r="G28" s="35"/>
      <c r="H28" s="88"/>
      <c r="I28" s="88"/>
    </row>
    <row r="29" s="70" customFormat="true" ht="30" hidden="false" customHeight="true" outlineLevel="0" collapsed="false">
      <c r="D29" s="44"/>
      <c r="E29" s="3"/>
      <c r="F29" s="89"/>
      <c r="G29" s="89"/>
      <c r="H29" s="88"/>
      <c r="I29" s="88"/>
    </row>
    <row r="30" s="70" customFormat="true" ht="30" hidden="false" customHeight="true" outlineLevel="0" collapsed="false">
      <c r="D30" s="44"/>
      <c r="E30" s="3"/>
      <c r="F30" s="90"/>
      <c r="G30" s="90"/>
      <c r="H30" s="91"/>
      <c r="I30" s="91"/>
    </row>
    <row r="31" s="24" customFormat="true" ht="27" hidden="false" customHeight="true" outlineLevel="0" collapsed="false">
      <c r="D31" s="92"/>
      <c r="E31" s="3"/>
    </row>
    <row r="32" s="24" customFormat="true" ht="27" hidden="false" customHeight="true" outlineLevel="0" collapsed="false">
      <c r="D32" s="44"/>
      <c r="E32" s="3"/>
    </row>
    <row r="33" s="24" customFormat="true" ht="16.9" hidden="false" customHeight="true" outlineLevel="0" collapsed="false">
      <c r="E33" s="3"/>
      <c r="F33" s="4"/>
      <c r="G33" s="5"/>
      <c r="H33" s="1"/>
      <c r="I33" s="1"/>
      <c r="Q33" s="24" t="s">
        <v>23</v>
      </c>
    </row>
    <row r="34" s="24" customFormat="true" ht="13" hidden="false" customHeight="false" outlineLevel="0" collapsed="false">
      <c r="C34" s="44"/>
      <c r="D34" s="44"/>
      <c r="E34" s="3"/>
      <c r="F34" s="4"/>
      <c r="G34" s="5"/>
      <c r="H34" s="1"/>
      <c r="I34" s="1"/>
    </row>
    <row r="35" customFormat="false" ht="13" hidden="false" customHeight="false" outlineLevel="0" collapsed="false">
      <c r="B35" s="24"/>
      <c r="C35" s="44"/>
      <c r="D35" s="44"/>
      <c r="J35" s="1" t="s">
        <v>23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&amp;L_x005F_x000D_&amp;1#&amp;10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15"/>
  <sheetViews>
    <sheetView showFormulas="false" showGridLines="false" showRowColHeaders="true" showZeros="true" rightToLeft="false" tabSelected="false" showOutlineSymbols="true" defaultGridColor="true" view="pageBreakPreview" topLeftCell="A1" colorId="64" zoomScale="90" zoomScaleNormal="100" zoomScalePageLayoutView="90" workbookViewId="0">
      <selection pane="topLeft" activeCell="B6" activeCellId="0" sqref="B6"/>
    </sheetView>
  </sheetViews>
  <sheetFormatPr defaultColWidth="9.1796875" defaultRowHeight="14" zeroHeight="false" outlineLevelRow="0" outlineLevelCol="0"/>
  <cols>
    <col collapsed="false" customWidth="true" hidden="false" outlineLevel="0" max="1" min="1" style="93" width="3.46"/>
    <col collapsed="false" customWidth="true" hidden="false" outlineLevel="0" max="2" min="2" style="94" width="19.91"/>
    <col collapsed="false" customWidth="true" hidden="false" outlineLevel="0" max="3" min="3" style="94" width="16.83"/>
    <col collapsed="false" customWidth="true" hidden="false" outlineLevel="0" max="5" min="4" style="93" width="16.83"/>
    <col collapsed="false" customWidth="true" hidden="false" outlineLevel="0" max="6" min="6" style="95" width="16.83"/>
    <col collapsed="false" customWidth="true" hidden="false" outlineLevel="0" max="7" min="7" style="96" width="16.83"/>
    <col collapsed="false" customWidth="true" hidden="false" outlineLevel="0" max="8" min="8" style="97" width="16.83"/>
    <col collapsed="false" customWidth="true" hidden="false" outlineLevel="0" max="9" min="9" style="96" width="16.83"/>
    <col collapsed="false" customWidth="true" hidden="false" outlineLevel="0" max="10" min="10" style="96" width="24.18"/>
    <col collapsed="false" customWidth="true" hidden="false" outlineLevel="0" max="11" min="11" style="93" width="5.82"/>
    <col collapsed="false" customWidth="false" hidden="false" outlineLevel="0" max="12" min="12" style="93" width="9.18"/>
    <col collapsed="false" customWidth="true" hidden="true" outlineLevel="0" max="13" min="13" style="93" width="13.72"/>
    <col collapsed="false" customWidth="false" hidden="false" outlineLevel="0" max="15" min="14" style="93" width="9.18"/>
    <col collapsed="false" customWidth="true" hidden="false" outlineLevel="0" max="16" min="16" style="93" width="16.83"/>
    <col collapsed="false" customWidth="false" hidden="false" outlineLevel="0" max="1024" min="17" style="93" width="9.18"/>
  </cols>
  <sheetData>
    <row r="1" customFormat="false" ht="14.5" hidden="false" customHeight="false" outlineLevel="0" collapsed="false"/>
    <row r="2" customFormat="false" ht="24.75" hidden="false" customHeight="true" outlineLevel="0" collapsed="false">
      <c r="B2" s="98" t="s">
        <v>24</v>
      </c>
      <c r="C2" s="98"/>
      <c r="D2" s="98"/>
      <c r="E2" s="98"/>
      <c r="F2" s="98"/>
      <c r="G2" s="98"/>
      <c r="H2" s="98"/>
      <c r="I2" s="98"/>
      <c r="J2" s="98"/>
    </row>
    <row r="4" customFormat="false" ht="29.25" hidden="false" customHeight="true" outlineLevel="0" collapsed="false">
      <c r="B4" s="99" t="s">
        <v>25</v>
      </c>
      <c r="C4" s="99" t="s">
        <v>17</v>
      </c>
      <c r="D4" s="99" t="s">
        <v>26</v>
      </c>
      <c r="E4" s="99" t="s">
        <v>27</v>
      </c>
      <c r="F4" s="100" t="s">
        <v>28</v>
      </c>
      <c r="G4" s="101" t="s">
        <v>29</v>
      </c>
      <c r="H4" s="102" t="s">
        <v>30</v>
      </c>
      <c r="I4" s="103" t="s">
        <v>31</v>
      </c>
      <c r="J4" s="103" t="s">
        <v>32</v>
      </c>
    </row>
    <row r="5" customFormat="false" ht="29.25" hidden="false" customHeight="true" outlineLevel="0" collapsed="false">
      <c r="B5" s="104"/>
      <c r="C5" s="105"/>
      <c r="D5" s="106"/>
      <c r="E5" s="107"/>
      <c r="F5" s="108"/>
      <c r="G5" s="109"/>
      <c r="H5" s="110" t="n">
        <v>1</v>
      </c>
      <c r="I5" s="111" t="n">
        <f aca="false">IF(H5="","",H5*G5)</f>
        <v>0</v>
      </c>
      <c r="J5" s="111"/>
      <c r="O5" s="112"/>
      <c r="Q5" s="93" t="s">
        <v>33</v>
      </c>
    </row>
    <row r="6" customFormat="false" ht="29.25" hidden="false" customHeight="true" outlineLevel="0" collapsed="false">
      <c r="B6" s="104"/>
      <c r="C6" s="105"/>
      <c r="D6" s="106"/>
      <c r="E6" s="107"/>
      <c r="F6" s="108"/>
      <c r="G6" s="109"/>
      <c r="H6" s="110" t="n">
        <v>1</v>
      </c>
      <c r="I6" s="111" t="n">
        <f aca="false">IF(H6="","",H6*G6)</f>
        <v>0</v>
      </c>
      <c r="J6" s="111"/>
      <c r="O6" s="112"/>
    </row>
    <row r="7" customFormat="false" ht="29.25" hidden="false" customHeight="true" outlineLevel="0" collapsed="false">
      <c r="B7" s="104"/>
      <c r="C7" s="105"/>
      <c r="D7" s="106"/>
      <c r="E7" s="107"/>
      <c r="F7" s="108"/>
      <c r="G7" s="109"/>
      <c r="H7" s="110"/>
      <c r="I7" s="111" t="str">
        <f aca="false">IF(H7="","",H7*G7)</f>
        <v/>
      </c>
      <c r="J7" s="111"/>
      <c r="O7" s="112"/>
    </row>
    <row r="8" customFormat="false" ht="29.25" hidden="false" customHeight="true" outlineLevel="0" collapsed="false">
      <c r="B8" s="104"/>
      <c r="C8" s="105"/>
      <c r="D8" s="106"/>
      <c r="E8" s="107"/>
      <c r="F8" s="108"/>
      <c r="G8" s="109"/>
      <c r="H8" s="110"/>
      <c r="I8" s="111"/>
      <c r="J8" s="111"/>
      <c r="O8" s="112"/>
    </row>
    <row r="9" customFormat="false" ht="29.25" hidden="false" customHeight="true" outlineLevel="0" collapsed="false">
      <c r="B9" s="104"/>
      <c r="C9" s="105"/>
      <c r="D9" s="106"/>
      <c r="E9" s="107"/>
      <c r="F9" s="108"/>
      <c r="G9" s="109"/>
      <c r="H9" s="110"/>
      <c r="I9" s="111"/>
      <c r="J9" s="111"/>
      <c r="O9" s="112"/>
    </row>
    <row r="10" customFormat="false" ht="29.25" hidden="false" customHeight="true" outlineLevel="0" collapsed="false">
      <c r="B10" s="104"/>
      <c r="C10" s="105"/>
      <c r="D10" s="106"/>
      <c r="E10" s="107"/>
      <c r="F10" s="108"/>
      <c r="G10" s="109"/>
      <c r="H10" s="110"/>
      <c r="I10" s="111"/>
      <c r="J10" s="111"/>
      <c r="O10" s="112"/>
    </row>
    <row r="11" s="113" customFormat="true" ht="27" hidden="false" customHeight="true" outlineLevel="0" collapsed="false">
      <c r="B11" s="114"/>
      <c r="C11" s="114"/>
      <c r="D11" s="114"/>
      <c r="E11" s="114"/>
      <c r="F11" s="115"/>
      <c r="G11" s="116" t="n">
        <f aca="false">SUM(G5:G8)</f>
        <v>0</v>
      </c>
      <c r="H11" s="117" t="e">
        <f aca="false">I11/G11</f>
        <v>#DIV/0!</v>
      </c>
      <c r="I11" s="116" t="n">
        <f aca="false">SUM(I5:I8)</f>
        <v>0</v>
      </c>
      <c r="J11" s="116"/>
    </row>
    <row r="12" customFormat="false" ht="14" hidden="false" customHeight="false" outlineLevel="0" collapsed="false">
      <c r="G12" s="96" t="s">
        <v>23</v>
      </c>
    </row>
    <row r="15" customFormat="false" ht="14" hidden="false" customHeight="false" outlineLevel="0" collapsed="false">
      <c r="D15" s="93" t="s">
        <v>23</v>
      </c>
    </row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true" showOutlineSymbols="true" defaultGridColor="true" view="pageBreakPreview" topLeftCell="A43" colorId="64" zoomScale="80" zoomScaleNormal="100" zoomScalePageLayoutView="80" workbookViewId="0">
      <selection pane="topLeft" activeCell="J45" activeCellId="0" sqref="J45"/>
    </sheetView>
  </sheetViews>
  <sheetFormatPr defaultColWidth="8.82421875" defaultRowHeight="14.5" zeroHeight="false" outlineLevelRow="0" outlineLevelCol="0"/>
  <cols>
    <col collapsed="false" customWidth="true" hidden="false" outlineLevel="0" max="1" min="1" style="118" width="10.45"/>
    <col collapsed="false" customWidth="true" hidden="false" outlineLevel="0" max="2" min="2" style="119" width="23.18"/>
    <col collapsed="false" customWidth="true" hidden="false" outlineLevel="0" max="3" min="3" style="120" width="13.45"/>
    <col collapsed="false" customWidth="true" hidden="false" outlineLevel="0" max="4" min="4" style="120" width="11.45"/>
    <col collapsed="false" customWidth="true" hidden="false" outlineLevel="0" max="5" min="5" style="120" width="11.54"/>
    <col collapsed="false" customWidth="true" hidden="false" outlineLevel="0" max="6" min="6" style="121" width="11.54"/>
    <col collapsed="false" customWidth="true" hidden="false" outlineLevel="0" max="7" min="7" style="120" width="8.64"/>
    <col collapsed="false" customWidth="true" hidden="false" outlineLevel="0" max="8" min="8" style="122" width="9.45"/>
    <col collapsed="false" customWidth="true" hidden="false" outlineLevel="0" max="9" min="9" style="123" width="9.18"/>
    <col collapsed="false" customWidth="true" hidden="false" outlineLevel="0" max="10" min="10" style="124" width="11.72"/>
    <col collapsed="false" customWidth="true" hidden="false" outlineLevel="0" max="11" min="11" style="124" width="13.09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25" width="20.45"/>
    <col collapsed="false" customWidth="true" hidden="true" outlineLevel="0" max="20" min="16" style="119" width="9.14"/>
    <col collapsed="false" customWidth="false" hidden="false" outlineLevel="0" max="1024" min="21" style="119" width="8.82"/>
  </cols>
  <sheetData>
    <row r="2" s="132" customFormat="true" ht="26.5" hidden="false" customHeight="true" outlineLevel="0" collapsed="false">
      <c r="A2" s="126" t="s">
        <v>34</v>
      </c>
      <c r="B2" s="127" t="s">
        <v>25</v>
      </c>
      <c r="C2" s="127" t="s">
        <v>35</v>
      </c>
      <c r="D2" s="127" t="s">
        <v>36</v>
      </c>
      <c r="E2" s="127" t="s">
        <v>17</v>
      </c>
      <c r="F2" s="128" t="s">
        <v>37</v>
      </c>
      <c r="G2" s="129" t="s">
        <v>38</v>
      </c>
      <c r="H2" s="129" t="s">
        <v>26</v>
      </c>
      <c r="I2" s="130" t="s">
        <v>39</v>
      </c>
      <c r="J2" s="131" t="s">
        <v>40</v>
      </c>
      <c r="K2" s="131" t="s">
        <v>41</v>
      </c>
      <c r="O2" s="133"/>
    </row>
    <row r="3" s="141" customFormat="true" ht="10.5" hidden="false" customHeight="true" outlineLevel="0" collapsed="false">
      <c r="A3" s="134"/>
      <c r="B3" s="135"/>
      <c r="C3" s="135"/>
      <c r="D3" s="135"/>
      <c r="E3" s="136"/>
      <c r="F3" s="137"/>
      <c r="G3" s="138"/>
      <c r="H3" s="138"/>
      <c r="I3" s="139"/>
      <c r="J3" s="140"/>
      <c r="K3" s="140"/>
      <c r="BE3" s="142" t="s">
        <v>42</v>
      </c>
    </row>
    <row r="4" s="141" customFormat="true" ht="33" hidden="false" customHeight="true" outlineLevel="0" collapsed="false">
      <c r="A4" s="134"/>
      <c r="B4" s="143" t="s">
        <v>43</v>
      </c>
      <c r="C4" s="135"/>
      <c r="D4" s="135"/>
      <c r="E4" s="136"/>
      <c r="F4" s="137"/>
      <c r="G4" s="138"/>
      <c r="H4" s="138"/>
      <c r="I4" s="139"/>
      <c r="J4" s="140"/>
      <c r="K4" s="140"/>
      <c r="M4" s="144" t="s">
        <v>17</v>
      </c>
      <c r="N4" s="145" t="s">
        <v>44</v>
      </c>
      <c r="O4" s="0"/>
      <c r="BE4" s="142" t="s">
        <v>45</v>
      </c>
    </row>
    <row r="5" s="141" customFormat="true" ht="33" hidden="false" customHeight="true" outlineLevel="0" collapsed="false">
      <c r="A5" s="134" t="n">
        <v>1</v>
      </c>
      <c r="B5" s="146"/>
      <c r="C5" s="146"/>
      <c r="D5" s="146"/>
      <c r="E5" s="147"/>
      <c r="F5" s="148"/>
      <c r="G5" s="149"/>
      <c r="H5" s="150"/>
      <c r="I5" s="151"/>
      <c r="J5" s="152"/>
      <c r="K5" s="152"/>
      <c r="M5" s="153" t="s">
        <v>46</v>
      </c>
      <c r="N5" s="154"/>
      <c r="O5" s="0"/>
      <c r="BE5" s="142" t="s">
        <v>47</v>
      </c>
    </row>
    <row r="6" s="141" customFormat="true" ht="33" hidden="false" customHeight="true" outlineLevel="0" collapsed="false">
      <c r="A6" s="134" t="n">
        <v>2</v>
      </c>
      <c r="B6" s="146"/>
      <c r="C6" s="146"/>
      <c r="D6" s="146"/>
      <c r="E6" s="147"/>
      <c r="F6" s="148"/>
      <c r="G6" s="149"/>
      <c r="H6" s="150"/>
      <c r="I6" s="151"/>
      <c r="J6" s="152"/>
      <c r="K6" s="152"/>
      <c r="M6" s="0"/>
      <c r="N6" s="0"/>
      <c r="O6" s="0"/>
      <c r="BE6" s="142" t="s">
        <v>48</v>
      </c>
    </row>
    <row r="7" s="141" customFormat="true" ht="33" hidden="false" customHeight="true" outlineLevel="0" collapsed="false">
      <c r="A7" s="134" t="n">
        <v>3</v>
      </c>
      <c r="B7" s="146"/>
      <c r="C7" s="146"/>
      <c r="D7" s="146"/>
      <c r="E7" s="147"/>
      <c r="F7" s="148"/>
      <c r="G7" s="149"/>
      <c r="H7" s="150"/>
      <c r="I7" s="151"/>
      <c r="J7" s="152"/>
      <c r="K7" s="152"/>
      <c r="M7" s="0"/>
      <c r="N7" s="0"/>
      <c r="O7" s="0"/>
      <c r="BE7" s="142"/>
    </row>
    <row r="8" s="141" customFormat="true" ht="33" hidden="false" customHeight="true" outlineLevel="0" collapsed="false">
      <c r="A8" s="134" t="n">
        <v>4</v>
      </c>
      <c r="B8" s="146"/>
      <c r="C8" s="146"/>
      <c r="D8" s="146"/>
      <c r="E8" s="147"/>
      <c r="F8" s="148"/>
      <c r="G8" s="149"/>
      <c r="H8" s="150"/>
      <c r="I8" s="151"/>
      <c r="J8" s="152"/>
      <c r="K8" s="152"/>
      <c r="M8" s="0"/>
      <c r="N8" s="0"/>
      <c r="O8" s="0"/>
      <c r="BE8" s="142"/>
    </row>
    <row r="9" s="141" customFormat="true" ht="33" hidden="false" customHeight="true" outlineLevel="0" collapsed="false">
      <c r="A9" s="134" t="n">
        <v>5</v>
      </c>
      <c r="B9" s="146"/>
      <c r="C9" s="146"/>
      <c r="D9" s="146"/>
      <c r="E9" s="147"/>
      <c r="F9" s="148"/>
      <c r="G9" s="149"/>
      <c r="H9" s="150"/>
      <c r="I9" s="151"/>
      <c r="J9" s="152"/>
      <c r="K9" s="152"/>
      <c r="M9" s="0"/>
      <c r="N9" s="0"/>
      <c r="O9" s="0"/>
      <c r="BE9" s="142"/>
    </row>
    <row r="10" s="141" customFormat="true" ht="33" hidden="false" customHeight="true" outlineLevel="0" collapsed="false">
      <c r="A10" s="134" t="n">
        <v>6</v>
      </c>
      <c r="B10" s="146"/>
      <c r="C10" s="146"/>
      <c r="D10" s="146"/>
      <c r="E10" s="147"/>
      <c r="F10" s="148"/>
      <c r="G10" s="149"/>
      <c r="H10" s="150"/>
      <c r="I10" s="151"/>
      <c r="J10" s="152"/>
      <c r="K10" s="152"/>
      <c r="M10" s="0"/>
      <c r="N10" s="0"/>
      <c r="O10" s="0"/>
      <c r="BE10" s="142"/>
    </row>
    <row r="11" s="141" customFormat="true" ht="33" hidden="false" customHeight="true" outlineLevel="0" collapsed="false">
      <c r="A11" s="134" t="n">
        <v>7</v>
      </c>
      <c r="B11" s="146"/>
      <c r="C11" s="146"/>
      <c r="D11" s="146"/>
      <c r="E11" s="147"/>
      <c r="F11" s="148"/>
      <c r="G11" s="149"/>
      <c r="H11" s="150"/>
      <c r="I11" s="151"/>
      <c r="J11" s="152"/>
      <c r="K11" s="152"/>
      <c r="M11" s="0"/>
      <c r="N11" s="0"/>
      <c r="O11" s="0"/>
      <c r="BE11" s="142"/>
    </row>
    <row r="12" s="141" customFormat="true" ht="33" hidden="false" customHeight="true" outlineLevel="0" collapsed="false">
      <c r="A12" s="134" t="n">
        <v>8</v>
      </c>
      <c r="B12" s="146"/>
      <c r="C12" s="146"/>
      <c r="D12" s="146"/>
      <c r="E12" s="147"/>
      <c r="F12" s="148"/>
      <c r="G12" s="149"/>
      <c r="H12" s="150"/>
      <c r="I12" s="151"/>
      <c r="J12" s="152"/>
      <c r="K12" s="152"/>
      <c r="BE12" s="142"/>
    </row>
    <row r="13" s="141" customFormat="true" ht="33" hidden="false" customHeight="true" outlineLevel="0" collapsed="false">
      <c r="A13" s="134" t="n">
        <v>9</v>
      </c>
      <c r="B13" s="146"/>
      <c r="C13" s="146"/>
      <c r="D13" s="146"/>
      <c r="E13" s="147"/>
      <c r="F13" s="148"/>
      <c r="G13" s="149"/>
      <c r="H13" s="150"/>
      <c r="I13" s="151"/>
      <c r="J13" s="152"/>
      <c r="K13" s="152"/>
      <c r="BE13" s="142"/>
    </row>
    <row r="14" s="141" customFormat="true" ht="33" hidden="false" customHeight="true" outlineLevel="0" collapsed="false">
      <c r="A14" s="134" t="n">
        <v>10</v>
      </c>
      <c r="B14" s="146"/>
      <c r="C14" s="146"/>
      <c r="D14" s="146"/>
      <c r="E14" s="147"/>
      <c r="F14" s="148"/>
      <c r="G14" s="149"/>
      <c r="H14" s="150"/>
      <c r="I14" s="151"/>
      <c r="J14" s="152"/>
      <c r="K14" s="152"/>
      <c r="BE14" s="142"/>
    </row>
    <row r="15" s="141" customFormat="true" ht="33" hidden="false" customHeight="true" outlineLevel="0" collapsed="false">
      <c r="A15" s="134" t="n">
        <v>11</v>
      </c>
      <c r="B15" s="146"/>
      <c r="C15" s="146"/>
      <c r="D15" s="146"/>
      <c r="E15" s="147"/>
      <c r="F15" s="148"/>
      <c r="G15" s="149"/>
      <c r="H15" s="150"/>
      <c r="I15" s="151"/>
      <c r="J15" s="152"/>
      <c r="K15" s="152"/>
      <c r="BE15" s="142"/>
    </row>
    <row r="16" s="141" customFormat="true" ht="33" hidden="false" customHeight="true" outlineLevel="0" collapsed="false">
      <c r="A16" s="134" t="n">
        <v>12</v>
      </c>
      <c r="B16" s="146"/>
      <c r="C16" s="146"/>
      <c r="D16" s="146"/>
      <c r="E16" s="147"/>
      <c r="F16" s="148"/>
      <c r="G16" s="149"/>
      <c r="H16" s="150"/>
      <c r="I16" s="151"/>
      <c r="J16" s="152"/>
      <c r="K16" s="152"/>
      <c r="BE16" s="142"/>
    </row>
    <row r="17" s="141" customFormat="true" ht="33" hidden="false" customHeight="true" outlineLevel="0" collapsed="false">
      <c r="A17" s="134" t="n">
        <v>13</v>
      </c>
      <c r="B17" s="146"/>
      <c r="C17" s="146"/>
      <c r="D17" s="146"/>
      <c r="E17" s="147"/>
      <c r="F17" s="148"/>
      <c r="G17" s="149"/>
      <c r="H17" s="150"/>
      <c r="I17" s="151"/>
      <c r="J17" s="152"/>
      <c r="K17" s="152"/>
      <c r="BE17" s="142"/>
    </row>
    <row r="18" s="141" customFormat="true" ht="33" hidden="false" customHeight="true" outlineLevel="0" collapsed="false">
      <c r="A18" s="134" t="n">
        <v>14</v>
      </c>
      <c r="B18" s="146"/>
      <c r="C18" s="146"/>
      <c r="D18" s="146"/>
      <c r="E18" s="147"/>
      <c r="F18" s="148"/>
      <c r="G18" s="149"/>
      <c r="H18" s="150"/>
      <c r="I18" s="151"/>
      <c r="J18" s="152"/>
      <c r="K18" s="152"/>
      <c r="BE18" s="142"/>
    </row>
    <row r="19" s="141" customFormat="true" ht="33" hidden="false" customHeight="true" outlineLevel="0" collapsed="false">
      <c r="A19" s="134" t="n">
        <v>15</v>
      </c>
      <c r="B19" s="146"/>
      <c r="C19" s="146"/>
      <c r="D19" s="146"/>
      <c r="E19" s="147"/>
      <c r="F19" s="148"/>
      <c r="G19" s="149"/>
      <c r="H19" s="150"/>
      <c r="I19" s="151"/>
      <c r="J19" s="152"/>
      <c r="K19" s="152"/>
      <c r="BE19" s="142"/>
    </row>
    <row r="20" s="141" customFormat="true" ht="33" hidden="false" customHeight="true" outlineLevel="0" collapsed="false">
      <c r="A20" s="134" t="n">
        <v>16</v>
      </c>
      <c r="B20" s="146"/>
      <c r="C20" s="146"/>
      <c r="D20" s="146"/>
      <c r="E20" s="147"/>
      <c r="F20" s="148"/>
      <c r="G20" s="149"/>
      <c r="H20" s="150"/>
      <c r="I20" s="151"/>
      <c r="J20" s="152"/>
      <c r="K20" s="152"/>
      <c r="BE20" s="142"/>
    </row>
    <row r="21" s="141" customFormat="true" ht="33" hidden="false" customHeight="true" outlineLevel="0" collapsed="false">
      <c r="A21" s="134" t="n">
        <v>17</v>
      </c>
      <c r="B21" s="146"/>
      <c r="C21" s="146"/>
      <c r="D21" s="146"/>
      <c r="E21" s="147"/>
      <c r="F21" s="148"/>
      <c r="G21" s="149"/>
      <c r="H21" s="150"/>
      <c r="I21" s="151"/>
      <c r="J21" s="152"/>
      <c r="K21" s="152"/>
      <c r="BE21" s="142"/>
    </row>
    <row r="22" s="141" customFormat="true" ht="33" hidden="false" customHeight="true" outlineLevel="0" collapsed="false">
      <c r="A22" s="134" t="n">
        <v>18</v>
      </c>
      <c r="B22" s="146"/>
      <c r="C22" s="146"/>
      <c r="D22" s="146"/>
      <c r="E22" s="147"/>
      <c r="F22" s="148"/>
      <c r="G22" s="149"/>
      <c r="H22" s="150"/>
      <c r="I22" s="151"/>
      <c r="J22" s="152"/>
      <c r="K22" s="152"/>
      <c r="M22" s="155"/>
      <c r="N22" s="156"/>
      <c r="O22" s="125"/>
      <c r="BE22" s="142"/>
    </row>
    <row r="23" s="141" customFormat="true" ht="33" hidden="false" customHeight="true" outlineLevel="0" collapsed="false">
      <c r="A23" s="134" t="n">
        <v>19</v>
      </c>
      <c r="B23" s="146"/>
      <c r="C23" s="146"/>
      <c r="D23" s="146"/>
      <c r="E23" s="147"/>
      <c r="F23" s="148"/>
      <c r="G23" s="149"/>
      <c r="H23" s="150"/>
      <c r="I23" s="151"/>
      <c r="J23" s="152"/>
      <c r="K23" s="152"/>
      <c r="O23" s="125"/>
      <c r="BE23" s="142"/>
    </row>
    <row r="24" s="141" customFormat="true" ht="33" hidden="false" customHeight="true" outlineLevel="0" collapsed="false">
      <c r="A24" s="134" t="n">
        <v>20</v>
      </c>
      <c r="B24" s="146"/>
      <c r="C24" s="146"/>
      <c r="D24" s="146"/>
      <c r="E24" s="147"/>
      <c r="F24" s="148"/>
      <c r="G24" s="149"/>
      <c r="H24" s="150"/>
      <c r="I24" s="151"/>
      <c r="J24" s="152"/>
      <c r="K24" s="152"/>
      <c r="O24" s="125"/>
      <c r="BE24" s="142"/>
    </row>
    <row r="25" s="141" customFormat="true" ht="33" hidden="false" customHeight="true" outlineLevel="0" collapsed="false">
      <c r="A25" s="134" t="n">
        <v>21</v>
      </c>
      <c r="B25" s="146"/>
      <c r="C25" s="146"/>
      <c r="D25" s="146"/>
      <c r="E25" s="147"/>
      <c r="F25" s="148"/>
      <c r="G25" s="149"/>
      <c r="H25" s="150"/>
      <c r="I25" s="151"/>
      <c r="J25" s="152"/>
      <c r="K25" s="152"/>
      <c r="O25" s="125"/>
      <c r="BE25" s="142"/>
    </row>
    <row r="26" s="141" customFormat="true" ht="33" hidden="false" customHeight="true" outlineLevel="0" collapsed="false">
      <c r="A26" s="134" t="n">
        <v>22</v>
      </c>
      <c r="B26" s="146"/>
      <c r="C26" s="146"/>
      <c r="D26" s="146"/>
      <c r="E26" s="147"/>
      <c r="F26" s="148"/>
      <c r="G26" s="149"/>
      <c r="H26" s="150"/>
      <c r="I26" s="151"/>
      <c r="J26" s="152"/>
      <c r="K26" s="152"/>
      <c r="O26" s="125"/>
      <c r="BE26" s="142"/>
    </row>
    <row r="27" s="141" customFormat="true" ht="33" hidden="false" customHeight="true" outlineLevel="0" collapsed="false">
      <c r="A27" s="134" t="n">
        <v>23</v>
      </c>
      <c r="B27" s="146"/>
      <c r="C27" s="146"/>
      <c r="D27" s="146"/>
      <c r="E27" s="147"/>
      <c r="F27" s="148"/>
      <c r="G27" s="149"/>
      <c r="H27" s="150"/>
      <c r="I27" s="151"/>
      <c r="J27" s="152"/>
      <c r="K27" s="152"/>
      <c r="O27" s="125"/>
      <c r="BE27" s="142"/>
    </row>
    <row r="28" s="141" customFormat="true" ht="33" hidden="false" customHeight="true" outlineLevel="0" collapsed="false">
      <c r="A28" s="134" t="n">
        <v>24</v>
      </c>
      <c r="B28" s="146"/>
      <c r="C28" s="146"/>
      <c r="D28" s="146"/>
      <c r="E28" s="147"/>
      <c r="F28" s="148"/>
      <c r="G28" s="149"/>
      <c r="H28" s="150"/>
      <c r="I28" s="151"/>
      <c r="J28" s="152"/>
      <c r="K28" s="152"/>
      <c r="O28" s="125"/>
      <c r="BE28" s="142"/>
    </row>
    <row r="29" s="141" customFormat="true" ht="33" hidden="false" customHeight="true" outlineLevel="0" collapsed="false">
      <c r="A29" s="134" t="n">
        <v>25</v>
      </c>
      <c r="B29" s="146"/>
      <c r="C29" s="146"/>
      <c r="D29" s="146"/>
      <c r="E29" s="147"/>
      <c r="F29" s="148"/>
      <c r="G29" s="149"/>
      <c r="H29" s="150"/>
      <c r="I29" s="151"/>
      <c r="J29" s="152"/>
      <c r="K29" s="152"/>
      <c r="O29" s="125"/>
      <c r="BE29" s="142"/>
    </row>
    <row r="30" s="141" customFormat="true" ht="33" hidden="false" customHeight="true" outlineLevel="0" collapsed="false">
      <c r="A30" s="134" t="n">
        <v>26</v>
      </c>
      <c r="B30" s="146"/>
      <c r="C30" s="146"/>
      <c r="D30" s="146"/>
      <c r="E30" s="147"/>
      <c r="F30" s="148"/>
      <c r="G30" s="149"/>
      <c r="H30" s="150"/>
      <c r="I30" s="151"/>
      <c r="J30" s="152"/>
      <c r="K30" s="152"/>
      <c r="O30" s="125"/>
      <c r="BE30" s="142"/>
    </row>
    <row r="31" s="141" customFormat="true" ht="33" hidden="false" customHeight="true" outlineLevel="0" collapsed="false">
      <c r="A31" s="134" t="n">
        <v>27</v>
      </c>
      <c r="B31" s="146"/>
      <c r="C31" s="146"/>
      <c r="D31" s="146"/>
      <c r="E31" s="147"/>
      <c r="F31" s="148"/>
      <c r="G31" s="149"/>
      <c r="H31" s="150"/>
      <c r="I31" s="151"/>
      <c r="J31" s="152"/>
      <c r="K31" s="152"/>
      <c r="O31" s="125"/>
      <c r="BE31" s="142"/>
    </row>
    <row r="32" s="141" customFormat="true" ht="33" hidden="false" customHeight="true" outlineLevel="0" collapsed="false">
      <c r="A32" s="134" t="n">
        <v>28</v>
      </c>
      <c r="B32" s="146"/>
      <c r="C32" s="146"/>
      <c r="D32" s="146"/>
      <c r="E32" s="147"/>
      <c r="F32" s="148"/>
      <c r="G32" s="149"/>
      <c r="H32" s="150"/>
      <c r="I32" s="151"/>
      <c r="J32" s="152"/>
      <c r="K32" s="152"/>
      <c r="O32" s="125"/>
      <c r="BE32" s="142"/>
    </row>
    <row r="33" s="141" customFormat="true" ht="33" hidden="false" customHeight="true" outlineLevel="0" collapsed="false">
      <c r="A33" s="134" t="n">
        <v>29</v>
      </c>
      <c r="B33" s="146"/>
      <c r="C33" s="146"/>
      <c r="D33" s="146"/>
      <c r="E33" s="147"/>
      <c r="F33" s="148"/>
      <c r="G33" s="149"/>
      <c r="H33" s="150"/>
      <c r="I33" s="151"/>
      <c r="J33" s="152"/>
      <c r="K33" s="152"/>
      <c r="O33" s="125"/>
      <c r="BE33" s="142"/>
    </row>
    <row r="34" s="141" customFormat="true" ht="33" hidden="false" customHeight="true" outlineLevel="0" collapsed="false">
      <c r="A34" s="134" t="n">
        <v>30</v>
      </c>
      <c r="B34" s="146"/>
      <c r="C34" s="146"/>
      <c r="D34" s="146"/>
      <c r="E34" s="147"/>
      <c r="F34" s="148"/>
      <c r="G34" s="149"/>
      <c r="H34" s="150"/>
      <c r="I34" s="151"/>
      <c r="J34" s="152"/>
      <c r="K34" s="152"/>
      <c r="O34" s="125"/>
      <c r="BE34" s="142"/>
    </row>
    <row r="35" s="141" customFormat="true" ht="33" hidden="false" customHeight="true" outlineLevel="0" collapsed="false">
      <c r="A35" s="134" t="n">
        <v>31</v>
      </c>
      <c r="B35" s="146"/>
      <c r="C35" s="146"/>
      <c r="D35" s="146"/>
      <c r="E35" s="147"/>
      <c r="F35" s="148"/>
      <c r="G35" s="149"/>
      <c r="H35" s="150"/>
      <c r="I35" s="151"/>
      <c r="J35" s="152"/>
      <c r="K35" s="152"/>
      <c r="O35" s="125"/>
      <c r="BE35" s="142"/>
    </row>
    <row r="36" s="141" customFormat="true" ht="33" hidden="false" customHeight="true" outlineLevel="0" collapsed="false">
      <c r="A36" s="134" t="n">
        <v>32</v>
      </c>
      <c r="B36" s="146"/>
      <c r="C36" s="146"/>
      <c r="D36" s="146"/>
      <c r="E36" s="147"/>
      <c r="F36" s="148"/>
      <c r="G36" s="149"/>
      <c r="H36" s="150"/>
      <c r="I36" s="151"/>
      <c r="J36" s="152"/>
      <c r="K36" s="152"/>
      <c r="O36" s="125"/>
      <c r="BE36" s="142"/>
    </row>
    <row r="37" s="141" customFormat="true" ht="33" hidden="false" customHeight="true" outlineLevel="0" collapsed="false">
      <c r="A37" s="134" t="n">
        <v>33</v>
      </c>
      <c r="B37" s="146"/>
      <c r="C37" s="146"/>
      <c r="D37" s="146"/>
      <c r="E37" s="147"/>
      <c r="F37" s="148"/>
      <c r="G37" s="149"/>
      <c r="H37" s="150"/>
      <c r="I37" s="151"/>
      <c r="J37" s="152"/>
      <c r="K37" s="152"/>
      <c r="O37" s="125"/>
      <c r="BE37" s="142"/>
    </row>
    <row r="38" s="141" customFormat="true" ht="33" hidden="false" customHeight="true" outlineLevel="0" collapsed="false">
      <c r="A38" s="134" t="n">
        <v>34</v>
      </c>
      <c r="B38" s="146"/>
      <c r="C38" s="146"/>
      <c r="D38" s="146"/>
      <c r="E38" s="147"/>
      <c r="F38" s="148"/>
      <c r="G38" s="149"/>
      <c r="H38" s="150"/>
      <c r="I38" s="151"/>
      <c r="J38" s="152"/>
      <c r="K38" s="152"/>
      <c r="O38" s="125"/>
      <c r="BE38" s="142"/>
    </row>
    <row r="39" s="141" customFormat="true" ht="33" hidden="false" customHeight="true" outlineLevel="0" collapsed="false">
      <c r="A39" s="134"/>
      <c r="B39" s="146"/>
      <c r="C39" s="146"/>
      <c r="D39" s="146"/>
      <c r="E39" s="147"/>
      <c r="F39" s="148"/>
      <c r="G39" s="149"/>
      <c r="H39" s="150"/>
      <c r="I39" s="151"/>
      <c r="J39" s="152"/>
      <c r="K39" s="152"/>
      <c r="O39" s="125"/>
      <c r="BE39" s="142"/>
    </row>
    <row r="40" s="141" customFormat="true" ht="33" hidden="false" customHeight="true" outlineLevel="0" collapsed="false">
      <c r="A40" s="134" t="n">
        <v>35</v>
      </c>
      <c r="B40" s="146"/>
      <c r="C40" s="146"/>
      <c r="D40" s="146"/>
      <c r="E40" s="147"/>
      <c r="F40" s="148"/>
      <c r="G40" s="149"/>
      <c r="H40" s="150"/>
      <c r="I40" s="151"/>
      <c r="J40" s="152"/>
      <c r="K40" s="152"/>
      <c r="O40" s="125"/>
      <c r="BE40" s="142"/>
    </row>
    <row r="41" s="141" customFormat="true" ht="33" hidden="false" customHeight="true" outlineLevel="0" collapsed="false">
      <c r="A41" s="134" t="n">
        <v>36</v>
      </c>
      <c r="B41" s="146"/>
      <c r="C41" s="146"/>
      <c r="D41" s="146"/>
      <c r="E41" s="147"/>
      <c r="F41" s="148"/>
      <c r="G41" s="149"/>
      <c r="H41" s="150"/>
      <c r="I41" s="151"/>
      <c r="J41" s="152"/>
      <c r="K41" s="152"/>
      <c r="O41" s="125"/>
      <c r="BE41" s="142"/>
    </row>
    <row r="42" s="141" customFormat="true" ht="33" hidden="false" customHeight="true" outlineLevel="0" collapsed="false">
      <c r="A42" s="134" t="n">
        <v>37</v>
      </c>
      <c r="B42" s="146"/>
      <c r="C42" s="146"/>
      <c r="D42" s="146"/>
      <c r="E42" s="147"/>
      <c r="F42" s="148"/>
      <c r="G42" s="149"/>
      <c r="H42" s="150"/>
      <c r="I42" s="151"/>
      <c r="J42" s="152"/>
      <c r="K42" s="152"/>
      <c r="O42" s="125"/>
      <c r="BE42" s="142"/>
    </row>
    <row r="43" s="141" customFormat="true" ht="33" hidden="false" customHeight="true" outlineLevel="0" collapsed="false">
      <c r="A43" s="134" t="n">
        <v>38</v>
      </c>
      <c r="B43" s="146"/>
      <c r="C43" s="146"/>
      <c r="D43" s="146"/>
      <c r="E43" s="147"/>
      <c r="F43" s="148"/>
      <c r="G43" s="149"/>
      <c r="H43" s="150"/>
      <c r="I43" s="151"/>
      <c r="J43" s="152"/>
      <c r="K43" s="152"/>
      <c r="O43" s="125"/>
      <c r="BE43" s="142"/>
    </row>
    <row r="44" s="141" customFormat="true" ht="33" hidden="false" customHeight="true" outlineLevel="0" collapsed="false">
      <c r="A44" s="134" t="n">
        <v>39</v>
      </c>
      <c r="B44" s="146"/>
      <c r="C44" s="146"/>
      <c r="D44" s="146"/>
      <c r="E44" s="147"/>
      <c r="F44" s="148"/>
      <c r="G44" s="149"/>
      <c r="H44" s="150"/>
      <c r="I44" s="151"/>
      <c r="J44" s="152"/>
      <c r="K44" s="152"/>
      <c r="O44" s="125"/>
      <c r="BE44" s="142"/>
    </row>
    <row r="45" s="166" customFormat="true" ht="33" hidden="false" customHeight="true" outlineLevel="0" collapsed="false">
      <c r="A45" s="157"/>
      <c r="B45" s="158"/>
      <c r="C45" s="158"/>
      <c r="D45" s="158"/>
      <c r="E45" s="159"/>
      <c r="F45" s="160"/>
      <c r="G45" s="161"/>
      <c r="H45" s="162"/>
      <c r="I45" s="163"/>
      <c r="J45" s="164" t="s">
        <v>49</v>
      </c>
      <c r="K45" s="165" t="n">
        <v>255083.791</v>
      </c>
      <c r="O45" s="167"/>
      <c r="BE45" s="16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1" colorId="64" zoomScale="30" zoomScaleNormal="40" zoomScalePageLayoutView="30" workbookViewId="0">
      <selection pane="topLeft" activeCell="F16" activeCellId="0" sqref="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69" width="6"/>
    <col collapsed="false" customWidth="true" hidden="false" outlineLevel="0" max="2" min="2" style="170" width="21.55"/>
    <col collapsed="false" customWidth="true" hidden="false" outlineLevel="0" max="3" min="3" style="171" width="21.55"/>
    <col collapsed="false" customWidth="true" hidden="false" outlineLevel="0" max="4" min="4" style="169" width="184.81"/>
    <col collapsed="false" customWidth="true" hidden="false" outlineLevel="0" max="5" min="5" style="172" width="36.54"/>
    <col collapsed="false" customWidth="true" hidden="false" outlineLevel="0" max="8" min="6" style="173" width="32"/>
    <col collapsed="false" customWidth="true" hidden="false" outlineLevel="0" max="9" min="9" style="173" width="28.81"/>
    <col collapsed="false" customWidth="true" hidden="false" outlineLevel="0" max="10" min="10" style="172" width="39"/>
    <col collapsed="false" customWidth="true" hidden="false" outlineLevel="0" max="11" min="11" style="174" width="69.46"/>
    <col collapsed="false" customWidth="true" hidden="false" outlineLevel="0" max="12" min="12" style="175" width="38.82"/>
    <col collapsed="false" customWidth="true" hidden="false" outlineLevel="0" max="13" min="13" style="176" width="33.73"/>
    <col collapsed="false" customWidth="true" hidden="false" outlineLevel="0" max="14" min="14" style="176" width="42.27"/>
    <col collapsed="false" customWidth="true" hidden="false" outlineLevel="0" max="15" min="15" style="169" width="36.18"/>
    <col collapsed="false" customWidth="false" hidden="false" outlineLevel="0" max="33" min="16" style="169" width="8.82"/>
    <col collapsed="false" customWidth="true" hidden="false" outlineLevel="0" max="34" min="34" style="169" width="19.83"/>
    <col collapsed="false" customWidth="true" hidden="false" outlineLevel="0" max="35" min="35" style="169" width="9.45"/>
    <col collapsed="false" customWidth="false" hidden="false" outlineLevel="0" max="1024" min="36" style="169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77" t="s">
        <v>6</v>
      </c>
      <c r="J2" s="177"/>
      <c r="K2" s="177" t="str">
        <f aca="false">'AFP Summary'!H8</f>
        <v>Doncaster Unit 02 &amp; 03</v>
      </c>
      <c r="L2" s="178"/>
    </row>
    <row r="3" customFormat="false" ht="48.65" hidden="false" customHeight="true" outlineLevel="0" collapsed="false">
      <c r="I3" s="179" t="s">
        <v>5</v>
      </c>
      <c r="J3" s="180"/>
      <c r="K3" s="181" t="str">
        <f aca="false">'AFP Summary'!B9</f>
        <v>Fit Out (UK) Ltd</v>
      </c>
      <c r="L3" s="182"/>
    </row>
    <row r="4" customFormat="false" ht="48.65" hidden="false" customHeight="true" outlineLevel="0" collapsed="false">
      <c r="E4" s="172" t="s">
        <v>23</v>
      </c>
      <c r="I4" s="179" t="s">
        <v>50</v>
      </c>
      <c r="J4" s="183"/>
      <c r="K4" s="184" t="n">
        <f aca="false">SUM(Table14[Value £])</f>
        <v>5000</v>
      </c>
      <c r="L4" s="182"/>
    </row>
    <row r="5" customFormat="false" ht="48.65" hidden="false" customHeight="true" outlineLevel="0" collapsed="false">
      <c r="C5" s="185"/>
      <c r="I5" s="179" t="s">
        <v>51</v>
      </c>
      <c r="J5" s="183"/>
      <c r="K5" s="184" t="n">
        <f aca="false">SUMIF(Table14[Status],"Agreed",Table14[Value £])</f>
        <v>0</v>
      </c>
      <c r="L5" s="182"/>
    </row>
    <row r="6" customFormat="false" ht="48.65" hidden="false" customHeight="true" outlineLevel="0" collapsed="false">
      <c r="C6" s="186" t="s">
        <v>52</v>
      </c>
      <c r="I6" s="179" t="s">
        <v>53</v>
      </c>
      <c r="J6" s="183"/>
      <c r="K6" s="184" t="n">
        <f aca="false">K4-K5</f>
        <v>5000</v>
      </c>
      <c r="L6" s="182"/>
    </row>
    <row r="7" customFormat="false" ht="48.65" hidden="false" customHeight="true" outlineLevel="0" collapsed="false">
      <c r="C7" s="186"/>
      <c r="I7" s="179" t="s">
        <v>54</v>
      </c>
      <c r="J7" s="183"/>
      <c r="K7" s="184" t="n">
        <f aca="false">SUM(M14:M91)</f>
        <v>0</v>
      </c>
      <c r="L7" s="182"/>
    </row>
    <row r="8" customFormat="false" ht="48.65" hidden="false" customHeight="true" outlineLevel="0" collapsed="false">
      <c r="C8" s="187" t="s">
        <v>1</v>
      </c>
      <c r="D8" s="188"/>
      <c r="I8" s="179" t="s">
        <v>55</v>
      </c>
      <c r="J8" s="183"/>
      <c r="K8" s="189" t="n">
        <f aca="false">IFERROR(K5/K4,"")</f>
        <v>0</v>
      </c>
      <c r="L8" s="182"/>
    </row>
    <row r="9" s="190" customFormat="true" ht="48.65" hidden="false" customHeight="true" outlineLevel="0" collapsed="false">
      <c r="B9" s="191"/>
      <c r="C9" s="192" t="s">
        <v>2</v>
      </c>
      <c r="D9" s="188"/>
      <c r="E9" s="193"/>
      <c r="F9" s="194"/>
      <c r="G9" s="194"/>
      <c r="H9" s="194"/>
      <c r="I9" s="179" t="s">
        <v>56</v>
      </c>
      <c r="J9" s="183"/>
      <c r="K9" s="195" t="n">
        <f aca="false">COUNT(Table14[[ VO]])</f>
        <v>2</v>
      </c>
      <c r="L9" s="182"/>
      <c r="M9" s="196"/>
      <c r="N9" s="196"/>
    </row>
    <row r="10" s="190" customFormat="true" ht="48.65" hidden="false" customHeight="true" outlineLevel="0" collapsed="false">
      <c r="B10" s="191"/>
      <c r="C10" s="197" t="s">
        <v>3</v>
      </c>
      <c r="D10" s="197"/>
      <c r="E10" s="193"/>
      <c r="F10" s="194"/>
      <c r="G10" s="194"/>
      <c r="H10" s="194"/>
      <c r="I10" s="179" t="s">
        <v>57</v>
      </c>
      <c r="J10" s="198"/>
      <c r="K10" s="195" t="n">
        <f aca="false">COUNTIF(Table14[Status],"Agreed")</f>
        <v>1</v>
      </c>
      <c r="L10" s="182"/>
      <c r="M10" s="196"/>
      <c r="N10" s="196"/>
    </row>
    <row r="11" s="190" customFormat="true" ht="48.65" hidden="false" customHeight="true" outlineLevel="0" collapsed="false">
      <c r="C11" s="192" t="s">
        <v>4</v>
      </c>
      <c r="D11" s="188"/>
      <c r="E11" s="193"/>
      <c r="F11" s="194"/>
      <c r="G11" s="194"/>
      <c r="H11" s="194"/>
      <c r="I11" s="199" t="s">
        <v>58</v>
      </c>
      <c r="J11" s="200"/>
      <c r="K11" s="201" t="n">
        <f aca="false">COUNTIF(Table14[Value £],"tbc")</f>
        <v>1</v>
      </c>
      <c r="L11" s="182"/>
      <c r="M11" s="196"/>
      <c r="N11" s="196"/>
    </row>
    <row r="12" customFormat="false" ht="20.15" hidden="false" customHeight="true" outlineLevel="0" collapsed="false"/>
    <row r="13" s="202" customFormat="true" ht="87.75" hidden="false" customHeight="true" outlineLevel="0" collapsed="false">
      <c r="B13" s="203" t="s">
        <v>59</v>
      </c>
      <c r="C13" s="203" t="s">
        <v>60</v>
      </c>
      <c r="D13" s="203" t="s">
        <v>61</v>
      </c>
      <c r="E13" s="204" t="s">
        <v>62</v>
      </c>
      <c r="F13" s="205" t="s">
        <v>63</v>
      </c>
      <c r="G13" s="205" t="s">
        <v>64</v>
      </c>
      <c r="H13" s="205" t="s">
        <v>65</v>
      </c>
      <c r="I13" s="205" t="s">
        <v>66</v>
      </c>
      <c r="J13" s="204" t="s">
        <v>67</v>
      </c>
      <c r="K13" s="203" t="s">
        <v>32</v>
      </c>
      <c r="L13" s="206" t="s">
        <v>30</v>
      </c>
      <c r="M13" s="205" t="s">
        <v>31</v>
      </c>
      <c r="N13" s="205" t="s">
        <v>68</v>
      </c>
    </row>
    <row r="14" s="207" customFormat="true" ht="65.15" hidden="false" customHeight="true" outlineLevel="0" collapsed="false">
      <c r="B14" s="208"/>
      <c r="C14" s="209" t="n">
        <v>1</v>
      </c>
      <c r="D14" s="210" t="s">
        <v>69</v>
      </c>
      <c r="E14" s="211" t="n">
        <v>45512</v>
      </c>
      <c r="F14" s="212" t="n">
        <v>0</v>
      </c>
      <c r="G14" s="212"/>
      <c r="H14" s="212"/>
      <c r="I14" s="213" t="s">
        <v>70</v>
      </c>
      <c r="J14" s="214" t="n">
        <v>45523</v>
      </c>
      <c r="K14" s="215"/>
      <c r="L14" s="216" t="n">
        <v>1</v>
      </c>
      <c r="M14" s="213" t="n">
        <f aca="false">IF(Table14[[#This Row],[Progress %]]="","",Table14[[#This Row],[Progress %]]*Table14[[#This Row],[Value £]])</f>
        <v>0</v>
      </c>
      <c r="N14" s="215" t="s">
        <v>71</v>
      </c>
    </row>
    <row r="15" s="207" customFormat="true" ht="65.15" hidden="false" customHeight="true" outlineLevel="0" collapsed="false">
      <c r="B15" s="208"/>
      <c r="C15" s="209" t="n">
        <v>2</v>
      </c>
      <c r="D15" s="217" t="s">
        <v>72</v>
      </c>
      <c r="E15" s="211"/>
      <c r="F15" s="212" t="s">
        <v>73</v>
      </c>
      <c r="G15" s="212"/>
      <c r="H15" s="212"/>
      <c r="I15" s="213" t="s">
        <v>53</v>
      </c>
      <c r="J15" s="214"/>
      <c r="K15" s="215"/>
      <c r="L15" s="216"/>
      <c r="M15" s="213" t="str">
        <f aca="false">IF(Table14[[#This Row],[Progress %]]="","",Table14[[#This Row],[Progress %]]*Table14[[#This Row],[Value £]])</f>
        <v/>
      </c>
      <c r="N15" s="215"/>
    </row>
    <row r="16" s="207" customFormat="true" ht="65.15" hidden="false" customHeight="true" outlineLevel="0" collapsed="false">
      <c r="B16" s="208"/>
      <c r="C16" s="209"/>
      <c r="D16" s="210" t="s">
        <v>74</v>
      </c>
      <c r="E16" s="211"/>
      <c r="F16" s="212" t="n">
        <v>5000</v>
      </c>
      <c r="G16" s="212"/>
      <c r="H16" s="212"/>
      <c r="I16" s="213"/>
      <c r="J16" s="214"/>
      <c r="K16" s="215"/>
      <c r="L16" s="216"/>
      <c r="M16" s="213"/>
      <c r="N16" s="215"/>
    </row>
    <row r="17" s="207" customFormat="true" ht="65.15" hidden="false" customHeight="true" outlineLevel="0" collapsed="false">
      <c r="B17" s="208"/>
      <c r="C17" s="209"/>
      <c r="D17" s="210"/>
      <c r="E17" s="211"/>
      <c r="F17" s="212"/>
      <c r="G17" s="212"/>
      <c r="H17" s="212"/>
      <c r="I17" s="213"/>
      <c r="J17" s="214"/>
      <c r="K17" s="215"/>
      <c r="L17" s="216"/>
      <c r="M17" s="213"/>
      <c r="N17" s="215"/>
    </row>
    <row r="18" s="207" customFormat="true" ht="65.15" hidden="false" customHeight="true" outlineLevel="0" collapsed="false">
      <c r="B18" s="208"/>
      <c r="C18" s="209"/>
      <c r="D18" s="210"/>
      <c r="E18" s="211"/>
      <c r="F18" s="212"/>
      <c r="G18" s="212"/>
      <c r="H18" s="212"/>
      <c r="I18" s="213"/>
      <c r="J18" s="214"/>
      <c r="K18" s="215"/>
      <c r="L18" s="216"/>
      <c r="M18" s="213"/>
      <c r="N18" s="215"/>
    </row>
    <row r="19" s="207" customFormat="true" ht="65.15" hidden="false" customHeight="true" outlineLevel="0" collapsed="false">
      <c r="B19" s="208"/>
      <c r="C19" s="209"/>
      <c r="D19" s="217"/>
      <c r="E19" s="211"/>
      <c r="F19" s="212"/>
      <c r="G19" s="212"/>
      <c r="H19" s="212"/>
      <c r="I19" s="213"/>
      <c r="J19" s="214"/>
      <c r="K19" s="218"/>
      <c r="L19" s="219"/>
      <c r="M19" s="220"/>
      <c r="N19" s="215"/>
    </row>
    <row r="20" s="221" customFormat="true" ht="65.15" hidden="false" customHeight="true" outlineLevel="0" collapsed="false">
      <c r="B20" s="208"/>
      <c r="C20" s="209"/>
      <c r="D20" s="217"/>
      <c r="E20" s="211"/>
      <c r="F20" s="212"/>
      <c r="G20" s="212"/>
      <c r="H20" s="212"/>
      <c r="I20" s="213"/>
      <c r="J20" s="214"/>
      <c r="K20" s="215"/>
      <c r="L20" s="216"/>
      <c r="M20" s="213"/>
      <c r="N20" s="215"/>
    </row>
    <row r="21" s="221" customFormat="true" ht="65.15" hidden="false" customHeight="true" outlineLevel="0" collapsed="false">
      <c r="B21" s="208"/>
      <c r="C21" s="209"/>
      <c r="D21" s="210"/>
      <c r="E21" s="211"/>
      <c r="F21" s="212"/>
      <c r="G21" s="212"/>
      <c r="H21" s="212"/>
      <c r="I21" s="213"/>
      <c r="J21" s="214"/>
      <c r="K21" s="215"/>
      <c r="L21" s="216"/>
      <c r="M21" s="213"/>
      <c r="N21" s="215"/>
    </row>
    <row r="22" s="221" customFormat="true" ht="65.15" hidden="false" customHeight="true" outlineLevel="0" collapsed="false">
      <c r="B22" s="208"/>
      <c r="C22" s="209"/>
      <c r="D22" s="210"/>
      <c r="E22" s="211"/>
      <c r="F22" s="212"/>
      <c r="G22" s="212"/>
      <c r="H22" s="212"/>
      <c r="I22" s="213"/>
      <c r="J22" s="214"/>
      <c r="K22" s="215"/>
      <c r="L22" s="216"/>
      <c r="M22" s="213"/>
      <c r="N22" s="215"/>
    </row>
    <row r="23" s="221" customFormat="true" ht="65.15" hidden="false" customHeight="true" outlineLevel="0" collapsed="false">
      <c r="B23" s="208"/>
      <c r="C23" s="209" t="str">
        <f aca="false">IF(Table14[[#This Row],[Description]]="","",C22+1)</f>
        <v/>
      </c>
      <c r="D23" s="210"/>
      <c r="E23" s="211"/>
      <c r="F23" s="212"/>
      <c r="G23" s="212"/>
      <c r="H23" s="212"/>
      <c r="I23" s="213"/>
      <c r="J23" s="214"/>
      <c r="K23" s="215"/>
      <c r="L23" s="216"/>
      <c r="M23" s="213" t="str">
        <f aca="false">IF(Table14[[#This Row],[Progress %]]="","",Table14[[#This Row],[Progress %]]*Table14[[#This Row],[Value £]])</f>
        <v/>
      </c>
      <c r="N23" s="215"/>
    </row>
    <row r="24" s="221" customFormat="true" ht="65.15" hidden="false" customHeight="true" outlineLevel="0" collapsed="false">
      <c r="B24" s="208"/>
      <c r="C24" s="209" t="str">
        <f aca="false">IF(Table14[[#This Row],[Description]]="","",C23+1)</f>
        <v/>
      </c>
      <c r="D24" s="210"/>
      <c r="E24" s="211"/>
      <c r="F24" s="212"/>
      <c r="G24" s="212"/>
      <c r="H24" s="212"/>
      <c r="I24" s="213"/>
      <c r="J24" s="214"/>
      <c r="K24" s="215"/>
      <c r="L24" s="216"/>
      <c r="M24" s="213" t="str">
        <f aca="false">IF(Table14[[#This Row],[Progress %]]="","",Table14[[#This Row],[Progress %]]*Table14[[#This Row],[Value £]])</f>
        <v/>
      </c>
      <c r="N24" s="215"/>
    </row>
    <row r="25" s="221" customFormat="true" ht="65.15" hidden="false" customHeight="true" outlineLevel="0" collapsed="false">
      <c r="B25" s="208"/>
      <c r="C25" s="209" t="str">
        <f aca="false">IF(Table14[[#This Row],[Description]]="","",C24+1)</f>
        <v/>
      </c>
      <c r="D25" s="210"/>
      <c r="E25" s="211"/>
      <c r="F25" s="212"/>
      <c r="G25" s="212"/>
      <c r="H25" s="212"/>
      <c r="I25" s="213"/>
      <c r="J25" s="214"/>
      <c r="K25" s="215"/>
      <c r="L25" s="216"/>
      <c r="M25" s="213" t="str">
        <f aca="false">IF(Table14[[#This Row],[Progress %]]="","",Table14[[#This Row],[Progress %]]*Table14[[#This Row],[Value £]])</f>
        <v/>
      </c>
      <c r="N25" s="215"/>
    </row>
    <row r="26" s="221" customFormat="true" ht="65.15" hidden="false" customHeight="true" outlineLevel="0" collapsed="false">
      <c r="B26" s="208"/>
      <c r="C26" s="209" t="str">
        <f aca="false">IF(Table14[[#This Row],[Description]]="","",C25+1)</f>
        <v/>
      </c>
      <c r="D26" s="210"/>
      <c r="E26" s="211"/>
      <c r="F26" s="212"/>
      <c r="G26" s="212"/>
      <c r="H26" s="212"/>
      <c r="I26" s="213"/>
      <c r="J26" s="214"/>
      <c r="K26" s="215"/>
      <c r="L26" s="216"/>
      <c r="M26" s="213" t="str">
        <f aca="false">IF(Table14[[#This Row],[Progress %]]="","",Table14[[#This Row],[Progress %]]*Table14[[#This Row],[Value £]])</f>
        <v/>
      </c>
      <c r="N26" s="215"/>
    </row>
    <row r="27" s="221" customFormat="true" ht="65.15" hidden="false" customHeight="true" outlineLevel="0" collapsed="false">
      <c r="B27" s="208"/>
      <c r="C27" s="209" t="str">
        <f aca="false">IF(Table14[[#This Row],[Description]]="","",C26+1)</f>
        <v/>
      </c>
      <c r="D27" s="210"/>
      <c r="E27" s="211"/>
      <c r="F27" s="212"/>
      <c r="G27" s="212"/>
      <c r="H27" s="212"/>
      <c r="I27" s="213"/>
      <c r="J27" s="214"/>
      <c r="K27" s="215"/>
      <c r="L27" s="216"/>
      <c r="M27" s="213" t="str">
        <f aca="false">IF(Table14[[#This Row],[Progress %]]="","",Table14[[#This Row],[Progress %]]*Table14[[#This Row],[Value £]])</f>
        <v/>
      </c>
      <c r="N27" s="215"/>
    </row>
    <row r="28" s="221" customFormat="true" ht="65.15" hidden="false" customHeight="true" outlineLevel="0" collapsed="false">
      <c r="B28" s="208"/>
      <c r="C28" s="209" t="str">
        <f aca="false">IF(Table14[[#This Row],[Description]]="","",C27+1)</f>
        <v/>
      </c>
      <c r="D28" s="210"/>
      <c r="E28" s="211"/>
      <c r="F28" s="212"/>
      <c r="G28" s="212"/>
      <c r="H28" s="212"/>
      <c r="I28" s="213"/>
      <c r="J28" s="214"/>
      <c r="K28" s="215"/>
      <c r="L28" s="216"/>
      <c r="M28" s="213" t="str">
        <f aca="false">IF(Table14[[#This Row],[Progress %]]="","",Table14[[#This Row],[Progress %]]*Table14[[#This Row],[Value £]])</f>
        <v/>
      </c>
      <c r="N28" s="215"/>
    </row>
    <row r="29" s="221" customFormat="true" ht="65.15" hidden="false" customHeight="true" outlineLevel="0" collapsed="false">
      <c r="B29" s="208"/>
      <c r="C29" s="209" t="str">
        <f aca="false">IF(Table14[[#This Row],[Description]]="","",C28+1)</f>
        <v/>
      </c>
      <c r="D29" s="210"/>
      <c r="E29" s="211"/>
      <c r="F29" s="212"/>
      <c r="G29" s="212"/>
      <c r="H29" s="212"/>
      <c r="I29" s="213"/>
      <c r="J29" s="214"/>
      <c r="K29" s="215"/>
      <c r="L29" s="216"/>
      <c r="M29" s="213" t="str">
        <f aca="false">IF(Table14[[#This Row],[Progress %]]="","",Table14[[#This Row],[Progress %]]*Table14[[#This Row],[Value £]])</f>
        <v/>
      </c>
      <c r="N29" s="215"/>
    </row>
    <row r="30" s="221" customFormat="true" ht="65.15" hidden="false" customHeight="true" outlineLevel="0" collapsed="false">
      <c r="B30" s="208"/>
      <c r="C30" s="209" t="str">
        <f aca="false">IF(Table14[[#This Row],[Description]]="","",C29+1)</f>
        <v/>
      </c>
      <c r="D30" s="210"/>
      <c r="E30" s="211"/>
      <c r="F30" s="212"/>
      <c r="G30" s="212"/>
      <c r="H30" s="212"/>
      <c r="I30" s="213"/>
      <c r="J30" s="214"/>
      <c r="K30" s="215"/>
      <c r="L30" s="216"/>
      <c r="M30" s="213" t="str">
        <f aca="false">IF(Table14[[#This Row],[Progress %]]="","",Table14[[#This Row],[Progress %]]*Table14[[#This Row],[Value £]])</f>
        <v/>
      </c>
      <c r="N30" s="215"/>
    </row>
    <row r="31" s="221" customFormat="true" ht="65.15" hidden="false" customHeight="true" outlineLevel="0" collapsed="false">
      <c r="B31" s="208"/>
      <c r="C31" s="209" t="str">
        <f aca="false">IF(Table14[[#This Row],[Description]]="","",C30+1)</f>
        <v/>
      </c>
      <c r="D31" s="210"/>
      <c r="E31" s="211"/>
      <c r="F31" s="212"/>
      <c r="G31" s="212"/>
      <c r="H31" s="212"/>
      <c r="I31" s="213"/>
      <c r="J31" s="214"/>
      <c r="K31" s="215"/>
      <c r="L31" s="216"/>
      <c r="M31" s="213" t="str">
        <f aca="false">IF(Table14[[#This Row],[Progress %]]="","",Table14[[#This Row],[Progress %]]*Table14[[#This Row],[Value £]])</f>
        <v/>
      </c>
      <c r="N31" s="215"/>
    </row>
    <row r="32" s="221" customFormat="true" ht="65.15" hidden="false" customHeight="true" outlineLevel="0" collapsed="false">
      <c r="B32" s="208"/>
      <c r="C32" s="209" t="str">
        <f aca="false">IF(Table14[[#This Row],[Description]]="","",C31+1)</f>
        <v/>
      </c>
      <c r="D32" s="210"/>
      <c r="E32" s="211"/>
      <c r="F32" s="212"/>
      <c r="G32" s="212"/>
      <c r="H32" s="212"/>
      <c r="I32" s="213"/>
      <c r="J32" s="214"/>
      <c r="K32" s="215"/>
      <c r="L32" s="216"/>
      <c r="M32" s="213" t="str">
        <f aca="false">IF(Table14[[#This Row],[Progress %]]="","",Table14[[#This Row],[Progress %]]*Table14[[#This Row],[Value £]])</f>
        <v/>
      </c>
      <c r="N32" s="215"/>
    </row>
    <row r="33" s="221" customFormat="true" ht="65.15" hidden="false" customHeight="true" outlineLevel="0" collapsed="false">
      <c r="B33" s="208"/>
      <c r="C33" s="209" t="str">
        <f aca="false">IF(Table14[[#This Row],[Description]]="","",C32+1)</f>
        <v/>
      </c>
      <c r="D33" s="210"/>
      <c r="E33" s="211"/>
      <c r="F33" s="212"/>
      <c r="G33" s="212"/>
      <c r="H33" s="212"/>
      <c r="I33" s="213"/>
      <c r="J33" s="214"/>
      <c r="K33" s="215"/>
      <c r="L33" s="216"/>
      <c r="M33" s="213" t="str">
        <f aca="false">IF(Table14[[#This Row],[Progress %]]="","",Table14[[#This Row],[Progress %]]*Table14[[#This Row],[Value £]])</f>
        <v/>
      </c>
      <c r="N33" s="215"/>
    </row>
    <row r="34" s="221" customFormat="true" ht="65.15" hidden="false" customHeight="true" outlineLevel="0" collapsed="false">
      <c r="B34" s="208"/>
      <c r="C34" s="209" t="str">
        <f aca="false">IF(Table14[[#This Row],[Description]]="","",C33+1)</f>
        <v/>
      </c>
      <c r="D34" s="210"/>
      <c r="E34" s="211"/>
      <c r="F34" s="212"/>
      <c r="G34" s="212"/>
      <c r="H34" s="212"/>
      <c r="I34" s="213"/>
      <c r="J34" s="214"/>
      <c r="K34" s="215"/>
      <c r="L34" s="216"/>
      <c r="M34" s="213" t="str">
        <f aca="false">IF(Table14[[#This Row],[Progress %]]="","",Table14[[#This Row],[Progress %]]*Table14[[#This Row],[Value £]])</f>
        <v/>
      </c>
      <c r="N34" s="215"/>
    </row>
    <row r="35" s="221" customFormat="true" ht="65.15" hidden="false" customHeight="true" outlineLevel="0" collapsed="false">
      <c r="B35" s="208"/>
      <c r="C35" s="209" t="str">
        <f aca="false">IF(Table14[[#This Row],[Description]]="","",C34+1)</f>
        <v/>
      </c>
      <c r="D35" s="210"/>
      <c r="E35" s="211"/>
      <c r="F35" s="212"/>
      <c r="G35" s="212"/>
      <c r="H35" s="212"/>
      <c r="I35" s="213"/>
      <c r="J35" s="214"/>
      <c r="K35" s="215"/>
      <c r="L35" s="216"/>
      <c r="M35" s="213" t="str">
        <f aca="false">IF(Table14[[#This Row],[Progress %]]="","",Table14[[#This Row],[Progress %]]*Table14[[#This Row],[Value £]])</f>
        <v/>
      </c>
      <c r="N35" s="215"/>
    </row>
    <row r="36" s="221" customFormat="true" ht="65.15" hidden="false" customHeight="true" outlineLevel="0" collapsed="false">
      <c r="B36" s="208"/>
      <c r="C36" s="209" t="str">
        <f aca="false">IF(Table14[[#This Row],[Description]]="","",C35+1)</f>
        <v/>
      </c>
      <c r="D36" s="210"/>
      <c r="E36" s="211"/>
      <c r="F36" s="212"/>
      <c r="G36" s="212"/>
      <c r="H36" s="212"/>
      <c r="I36" s="213"/>
      <c r="J36" s="214"/>
      <c r="K36" s="215"/>
      <c r="L36" s="216"/>
      <c r="M36" s="213" t="str">
        <f aca="false">IF(Table14[[#This Row],[Progress %]]="","",Table14[[#This Row],[Progress %]]*Table14[[#This Row],[Value £]])</f>
        <v/>
      </c>
      <c r="N36" s="215"/>
    </row>
    <row r="37" s="221" customFormat="true" ht="65.15" hidden="false" customHeight="true" outlineLevel="0" collapsed="false">
      <c r="B37" s="208"/>
      <c r="C37" s="209" t="str">
        <f aca="false">IF(Table14[[#This Row],[Description]]="","",C36+1)</f>
        <v/>
      </c>
      <c r="D37" s="210"/>
      <c r="E37" s="211"/>
      <c r="F37" s="212"/>
      <c r="G37" s="212"/>
      <c r="H37" s="212"/>
      <c r="I37" s="213"/>
      <c r="J37" s="214"/>
      <c r="K37" s="215"/>
      <c r="L37" s="216"/>
      <c r="M37" s="213" t="str">
        <f aca="false">IF(Table14[[#This Row],[Progress %]]="","",Table14[[#This Row],[Progress %]]*Table14[[#This Row],[Value £]])</f>
        <v/>
      </c>
      <c r="N37" s="215"/>
    </row>
    <row r="38" s="221" customFormat="true" ht="65.15" hidden="false" customHeight="true" outlineLevel="0" collapsed="false">
      <c r="B38" s="208"/>
      <c r="C38" s="209" t="str">
        <f aca="false">IF(Table14[[#This Row],[Description]]="","",C37+1)</f>
        <v/>
      </c>
      <c r="D38" s="210"/>
      <c r="E38" s="211"/>
      <c r="F38" s="212"/>
      <c r="G38" s="212"/>
      <c r="H38" s="212"/>
      <c r="I38" s="213"/>
      <c r="J38" s="214"/>
      <c r="K38" s="215"/>
      <c r="L38" s="216"/>
      <c r="M38" s="213" t="str">
        <f aca="false">IF(Table14[[#This Row],[Progress %]]="","",Table14[[#This Row],[Progress %]]*Table14[[#This Row],[Value £]])</f>
        <v/>
      </c>
      <c r="N38" s="215"/>
    </row>
    <row r="39" s="221" customFormat="true" ht="65.15" hidden="false" customHeight="true" outlineLevel="0" collapsed="false">
      <c r="B39" s="208"/>
      <c r="C39" s="209" t="str">
        <f aca="false">IF(Table14[[#This Row],[Description]]="","",C38+1)</f>
        <v/>
      </c>
      <c r="D39" s="210"/>
      <c r="E39" s="211"/>
      <c r="F39" s="212"/>
      <c r="G39" s="212"/>
      <c r="H39" s="212"/>
      <c r="I39" s="213"/>
      <c r="J39" s="214"/>
      <c r="K39" s="215"/>
      <c r="L39" s="216"/>
      <c r="M39" s="213" t="str">
        <f aca="false">IF(Table14[[#This Row],[Progress %]]="","",Table14[[#This Row],[Progress %]]*Table14[[#This Row],[Value £]])</f>
        <v/>
      </c>
      <c r="N39" s="215"/>
    </row>
    <row r="40" s="221" customFormat="true" ht="65.15" hidden="false" customHeight="true" outlineLevel="0" collapsed="false">
      <c r="B40" s="208"/>
      <c r="C40" s="209" t="str">
        <f aca="false">IF(Table14[[#This Row],[Description]]="","",C39+1)</f>
        <v/>
      </c>
      <c r="D40" s="210"/>
      <c r="E40" s="211"/>
      <c r="F40" s="212"/>
      <c r="G40" s="212"/>
      <c r="H40" s="212"/>
      <c r="I40" s="213"/>
      <c r="J40" s="214"/>
      <c r="K40" s="215"/>
      <c r="L40" s="216"/>
      <c r="M40" s="213" t="str">
        <f aca="false">IF(Table14[[#This Row],[Progress %]]="","",Table14[[#This Row],[Progress %]]*Table14[[#This Row],[Value £]])</f>
        <v/>
      </c>
      <c r="N40" s="215"/>
    </row>
    <row r="41" s="221" customFormat="true" ht="65.15" hidden="false" customHeight="true" outlineLevel="0" collapsed="false">
      <c r="B41" s="208"/>
      <c r="C41" s="209" t="str">
        <f aca="false">IF(Table14[[#This Row],[Description]]="","",C40+1)</f>
        <v/>
      </c>
      <c r="D41" s="210"/>
      <c r="E41" s="211"/>
      <c r="F41" s="212"/>
      <c r="G41" s="212"/>
      <c r="H41" s="212"/>
      <c r="I41" s="213"/>
      <c r="J41" s="214"/>
      <c r="K41" s="215"/>
      <c r="L41" s="216"/>
      <c r="M41" s="213" t="str">
        <f aca="false">IF(Table14[[#This Row],[Progress %]]="","",Table14[[#This Row],[Progress %]]*Table14[[#This Row],[Value £]])</f>
        <v/>
      </c>
      <c r="N41" s="215"/>
    </row>
    <row r="42" s="221" customFormat="true" ht="65.15" hidden="false" customHeight="true" outlineLevel="0" collapsed="false">
      <c r="B42" s="208"/>
      <c r="C42" s="209" t="str">
        <f aca="false">IF(Table14[[#This Row],[Description]]="","",C41+1)</f>
        <v/>
      </c>
      <c r="D42" s="210"/>
      <c r="E42" s="211"/>
      <c r="F42" s="212"/>
      <c r="G42" s="212"/>
      <c r="H42" s="212"/>
      <c r="I42" s="213"/>
      <c r="J42" s="214"/>
      <c r="K42" s="215"/>
      <c r="L42" s="216"/>
      <c r="M42" s="213" t="str">
        <f aca="false">IF(Table14[[#This Row],[Progress %]]="","",Table14[[#This Row],[Progress %]]*Table14[[#This Row],[Value £]])</f>
        <v/>
      </c>
      <c r="N42" s="215"/>
    </row>
    <row r="43" s="221" customFormat="true" ht="65.15" hidden="false" customHeight="true" outlineLevel="0" collapsed="false">
      <c r="B43" s="208"/>
      <c r="C43" s="209" t="str">
        <f aca="false">IF(Table14[[#This Row],[Description]]="","",C42+1)</f>
        <v/>
      </c>
      <c r="D43" s="210"/>
      <c r="E43" s="211"/>
      <c r="F43" s="212"/>
      <c r="G43" s="212"/>
      <c r="H43" s="212"/>
      <c r="I43" s="213"/>
      <c r="J43" s="214"/>
      <c r="K43" s="215"/>
      <c r="L43" s="216"/>
      <c r="M43" s="213" t="str">
        <f aca="false">IF(Table14[[#This Row],[Progress %]]="","",Table14[[#This Row],[Progress %]]*Table14[[#This Row],[Value £]])</f>
        <v/>
      </c>
      <c r="N43" s="215"/>
    </row>
    <row r="44" s="221" customFormat="true" ht="65.15" hidden="false" customHeight="true" outlineLevel="0" collapsed="false">
      <c r="B44" s="208"/>
      <c r="C44" s="209" t="str">
        <f aca="false">IF(Table14[[#This Row],[Description]]="","",C43+1)</f>
        <v/>
      </c>
      <c r="D44" s="210"/>
      <c r="E44" s="211"/>
      <c r="F44" s="212"/>
      <c r="G44" s="212"/>
      <c r="H44" s="212"/>
      <c r="I44" s="213"/>
      <c r="J44" s="214"/>
      <c r="K44" s="215"/>
      <c r="L44" s="216"/>
      <c r="M44" s="213" t="str">
        <f aca="false">IF(Table14[[#This Row],[Progress %]]="","",Table14[[#This Row],[Progress %]]*Table14[[#This Row],[Value £]])</f>
        <v/>
      </c>
      <c r="N44" s="215"/>
    </row>
    <row r="45" s="221" customFormat="true" ht="65.15" hidden="false" customHeight="true" outlineLevel="0" collapsed="false">
      <c r="B45" s="208"/>
      <c r="C45" s="209" t="str">
        <f aca="false">IF(Table14[[#This Row],[Description]]="","",C44+1)</f>
        <v/>
      </c>
      <c r="D45" s="210"/>
      <c r="E45" s="211"/>
      <c r="F45" s="212"/>
      <c r="G45" s="212"/>
      <c r="H45" s="212" t="e">
        <f aca="false">IF(SUMIF([3]!table15[vo '#],table14[[#this row],[ vo]],[3]!table15[total £])=0,"",sumif([3]!table15[vo '#],Table14[[#This Row],[ VO]],[3]!table15[total £]))),TRUE())),TRUE())),TRUE())),TRUE())),TRUE())),TRUE())),TRUE())),TRUE())),TRUE())),TRUE())</f>
        <v>#N/A</v>
      </c>
      <c r="I45" s="213"/>
      <c r="J45" s="214"/>
      <c r="K45" s="215"/>
      <c r="L45" s="216"/>
      <c r="M45" s="213" t="str">
        <f aca="false">IF(Table14[[#This Row],[Progress %]]="","",Table14[[#This Row],[Progress %]]*Table14[[#This Row],[Value £]])</f>
        <v/>
      </c>
      <c r="N45" s="215"/>
    </row>
    <row r="46" s="221" customFormat="true" ht="65.15" hidden="false" customHeight="true" outlineLevel="0" collapsed="false">
      <c r="B46" s="208"/>
      <c r="C46" s="209" t="str">
        <f aca="false">IF(Table14[[#This Row],[Description]]="","",C45+1)</f>
        <v/>
      </c>
      <c r="D46" s="210"/>
      <c r="E46" s="211"/>
      <c r="F46" s="212"/>
      <c r="G46" s="212"/>
      <c r="H46" s="212"/>
      <c r="I46" s="213"/>
      <c r="J46" s="214"/>
      <c r="K46" s="215"/>
      <c r="L46" s="216"/>
      <c r="M46" s="213" t="str">
        <f aca="false">IF(Table14[[#This Row],[Progress %]]="","",Table14[[#This Row],[Progress %]]*Table14[[#This Row],[Value £]])</f>
        <v/>
      </c>
      <c r="N46" s="215"/>
    </row>
    <row r="47" s="221" customFormat="true" ht="65.15" hidden="false" customHeight="true" outlineLevel="0" collapsed="false">
      <c r="B47" s="208"/>
      <c r="C47" s="209" t="str">
        <f aca="false">IF(Table14[[#This Row],[Description]]="","",C46+1)</f>
        <v/>
      </c>
      <c r="D47" s="210"/>
      <c r="E47" s="211"/>
      <c r="F47" s="212"/>
      <c r="G47" s="212"/>
      <c r="H47" s="212"/>
      <c r="I47" s="213"/>
      <c r="J47" s="214"/>
      <c r="K47" s="215"/>
      <c r="L47" s="216"/>
      <c r="M47" s="213" t="str">
        <f aca="false">IF(Table14[[#This Row],[Progress %]]="","",Table14[[#This Row],[Progress %]]*Table14[[#This Row],[Value £]])</f>
        <v/>
      </c>
      <c r="N47" s="215"/>
    </row>
    <row r="48" s="221" customFormat="true" ht="65.15" hidden="false" customHeight="true" outlineLevel="0" collapsed="false">
      <c r="B48" s="208"/>
      <c r="C48" s="209" t="str">
        <f aca="false">IF(Table14[[#This Row],[Description]]="","",C47+1)</f>
        <v/>
      </c>
      <c r="D48" s="210"/>
      <c r="E48" s="211"/>
      <c r="F48" s="212"/>
      <c r="G48" s="212"/>
      <c r="H48" s="212"/>
      <c r="I48" s="213"/>
      <c r="J48" s="214"/>
      <c r="K48" s="215"/>
      <c r="L48" s="216"/>
      <c r="M48" s="213" t="str">
        <f aca="false">IF(Table14[[#This Row],[Progress %]]="","",Table14[[#This Row],[Progress %]]*Table14[[#This Row],[Value £]])</f>
        <v/>
      </c>
      <c r="N48" s="215"/>
    </row>
    <row r="49" s="221" customFormat="true" ht="65.15" hidden="false" customHeight="true" outlineLevel="0" collapsed="false">
      <c r="B49" s="208"/>
      <c r="C49" s="209" t="str">
        <f aca="false">IF(Table14[[#This Row],[Description]]="","",C48+1)</f>
        <v/>
      </c>
      <c r="D49" s="210"/>
      <c r="E49" s="211"/>
      <c r="F49" s="212"/>
      <c r="G49" s="212"/>
      <c r="H49" s="212"/>
      <c r="I49" s="213"/>
      <c r="J49" s="214"/>
      <c r="K49" s="215"/>
      <c r="L49" s="216"/>
      <c r="M49" s="213" t="str">
        <f aca="false">IF(Table14[[#This Row],[Progress %]]="","",Table14[[#This Row],[Progress %]]*Table14[[#This Row],[Value £]])</f>
        <v/>
      </c>
      <c r="N49" s="215"/>
    </row>
    <row r="50" s="221" customFormat="true" ht="65.15" hidden="false" customHeight="true" outlineLevel="0" collapsed="false">
      <c r="B50" s="208"/>
      <c r="C50" s="209" t="str">
        <f aca="false">IF(Table14[[#This Row],[Description]]="","",C49+1)</f>
        <v/>
      </c>
      <c r="D50" s="210"/>
      <c r="E50" s="211"/>
      <c r="F50" s="212"/>
      <c r="G50" s="212"/>
      <c r="H50" s="212"/>
      <c r="I50" s="213"/>
      <c r="J50" s="214"/>
      <c r="K50" s="215"/>
      <c r="L50" s="216"/>
      <c r="M50" s="213" t="str">
        <f aca="false">IF(Table14[[#This Row],[Progress %]]="","",Table14[[#This Row],[Progress %]]*Table14[[#This Row],[Value £]])</f>
        <v/>
      </c>
      <c r="N50" s="215"/>
    </row>
    <row r="51" s="221" customFormat="true" ht="65.15" hidden="false" customHeight="true" outlineLevel="0" collapsed="false">
      <c r="B51" s="208"/>
      <c r="C51" s="209" t="str">
        <f aca="false">IF(Table14[[#This Row],[Description]]="","",C50+1)</f>
        <v/>
      </c>
      <c r="D51" s="210"/>
      <c r="E51" s="211"/>
      <c r="F51" s="212"/>
      <c r="G51" s="212"/>
      <c r="H51" s="212"/>
      <c r="I51" s="213"/>
      <c r="J51" s="214"/>
      <c r="K51" s="215"/>
      <c r="L51" s="216"/>
      <c r="M51" s="213" t="str">
        <f aca="false">IF(Table14[[#This Row],[Progress %]]="","",Table14[[#This Row],[Progress %]]*Table14[[#This Row],[Value £]])</f>
        <v/>
      </c>
      <c r="N51" s="215"/>
    </row>
    <row r="52" s="221" customFormat="true" ht="65.15" hidden="false" customHeight="true" outlineLevel="0" collapsed="false">
      <c r="B52" s="208"/>
      <c r="C52" s="209" t="str">
        <f aca="false">IF(Table14[[#This Row],[Description]]="","",C51+1)</f>
        <v/>
      </c>
      <c r="D52" s="210"/>
      <c r="E52" s="211"/>
      <c r="F52" s="212"/>
      <c r="G52" s="212"/>
      <c r="H52" s="212"/>
      <c r="I52" s="213"/>
      <c r="J52" s="214"/>
      <c r="K52" s="215"/>
      <c r="L52" s="216"/>
      <c r="M52" s="213" t="str">
        <f aca="false">IF(Table14[[#This Row],[Progress %]]="","",Table14[[#This Row],[Progress %]]*Table14[[#This Row],[Value £]])</f>
        <v/>
      </c>
      <c r="N52" s="215"/>
    </row>
    <row r="53" s="221" customFormat="true" ht="65.15" hidden="false" customHeight="true" outlineLevel="0" collapsed="false">
      <c r="B53" s="208"/>
      <c r="C53" s="209" t="str">
        <f aca="false">IF(Table14[[#This Row],[Description]]="","",C52+1)</f>
        <v/>
      </c>
      <c r="D53" s="210"/>
      <c r="E53" s="211"/>
      <c r="F53" s="212"/>
      <c r="G53" s="212"/>
      <c r="H53" s="212"/>
      <c r="I53" s="213"/>
      <c r="J53" s="214"/>
      <c r="K53" s="215"/>
      <c r="L53" s="216"/>
      <c r="M53" s="213" t="str">
        <f aca="false">IF(Table14[[#This Row],[Progress %]]="","",Table14[[#This Row],[Progress %]]*Table14[[#This Row],[Value £]])</f>
        <v/>
      </c>
      <c r="N53" s="215"/>
    </row>
    <row r="54" s="221" customFormat="true" ht="65.15" hidden="false" customHeight="true" outlineLevel="0" collapsed="false">
      <c r="B54" s="208"/>
      <c r="C54" s="209" t="str">
        <f aca="false">IF(Table14[[#This Row],[Description]]="","",C53+1)</f>
        <v/>
      </c>
      <c r="D54" s="210"/>
      <c r="E54" s="211"/>
      <c r="F54" s="212"/>
      <c r="G54" s="212"/>
      <c r="H54" s="212" t="s">
        <v>23</v>
      </c>
      <c r="I54" s="213"/>
      <c r="J54" s="214"/>
      <c r="K54" s="215"/>
      <c r="L54" s="216"/>
      <c r="M54" s="213" t="str">
        <f aca="false">IF(Table14[[#This Row],[Progress %]]="","",Table14[[#This Row],[Progress %]]*Table14[[#This Row],[Value £]])</f>
        <v/>
      </c>
      <c r="N54" s="215"/>
    </row>
    <row r="55" s="221" customFormat="true" ht="65.15" hidden="false" customHeight="true" outlineLevel="0" collapsed="false">
      <c r="B55" s="208"/>
      <c r="C55" s="209" t="str">
        <f aca="false">IF(Table14[[#This Row],[Description]]="","",C54+1)</f>
        <v/>
      </c>
      <c r="D55" s="210"/>
      <c r="E55" s="211"/>
      <c r="F55" s="212"/>
      <c r="G55" s="212"/>
      <c r="H55" s="212"/>
      <c r="I55" s="213"/>
      <c r="J55" s="214"/>
      <c r="K55" s="215"/>
      <c r="L55" s="216"/>
      <c r="M55" s="213" t="str">
        <f aca="false">IF(Table14[[#This Row],[Progress %]]="","",Table14[[#This Row],[Progress %]]*Table14[[#This Row],[Value £]])</f>
        <v/>
      </c>
      <c r="N55" s="215"/>
    </row>
    <row r="56" s="221" customFormat="true" ht="65.15" hidden="false" customHeight="true" outlineLevel="0" collapsed="false">
      <c r="B56" s="208"/>
      <c r="C56" s="209" t="str">
        <f aca="false">IF(Table14[[#This Row],[Description]]="","",C55+1)</f>
        <v/>
      </c>
      <c r="D56" s="210"/>
      <c r="E56" s="211"/>
      <c r="F56" s="212"/>
      <c r="G56" s="212"/>
      <c r="H56" s="212"/>
      <c r="I56" s="213"/>
      <c r="J56" s="214"/>
      <c r="K56" s="215"/>
      <c r="L56" s="216"/>
      <c r="M56" s="213" t="str">
        <f aca="false">IF(Table14[[#This Row],[Progress %]]="","",Table14[[#This Row],[Progress %]]*Table14[[#This Row],[Value £]])</f>
        <v/>
      </c>
      <c r="N56" s="215"/>
    </row>
    <row r="57" s="221" customFormat="true" ht="65.15" hidden="false" customHeight="true" outlineLevel="0" collapsed="false">
      <c r="B57" s="208"/>
      <c r="C57" s="209" t="str">
        <f aca="false">IF(Table14[[#This Row],[Description]]="","",C56+1)</f>
        <v/>
      </c>
      <c r="D57" s="210"/>
      <c r="E57" s="211"/>
      <c r="F57" s="212"/>
      <c r="G57" s="212"/>
      <c r="H57" s="212"/>
      <c r="I57" s="213"/>
      <c r="J57" s="214"/>
      <c r="K57" s="215"/>
      <c r="L57" s="216"/>
      <c r="M57" s="213" t="str">
        <f aca="false">IF(Table14[[#This Row],[Progress %]]="","",Table14[[#This Row],[Progress %]]*Table14[[#This Row],[Value £]])</f>
        <v/>
      </c>
      <c r="N57" s="215"/>
    </row>
    <row r="58" s="221" customFormat="true" ht="65.15" hidden="false" customHeight="true" outlineLevel="0" collapsed="false">
      <c r="B58" s="208"/>
      <c r="C58" s="209" t="str">
        <f aca="false">IF(Table14[[#This Row],[Description]]="","",C57+1)</f>
        <v/>
      </c>
      <c r="D58" s="210"/>
      <c r="E58" s="211"/>
      <c r="F58" s="212"/>
      <c r="G58" s="212"/>
      <c r="H58" s="212"/>
      <c r="I58" s="213"/>
      <c r="J58" s="214"/>
      <c r="K58" s="215"/>
      <c r="L58" s="216"/>
      <c r="M58" s="213" t="str">
        <f aca="false">IF(Table14[[#This Row],[Progress %]]="","",Table14[[#This Row],[Progress %]]*Table14[[#This Row],[Value £]])</f>
        <v/>
      </c>
      <c r="N58" s="215"/>
    </row>
    <row r="59" s="221" customFormat="true" ht="65.15" hidden="false" customHeight="true" outlineLevel="0" collapsed="false">
      <c r="B59" s="208"/>
      <c r="C59" s="209" t="str">
        <f aca="false">IF(Table14[[#This Row],[Description]]="","",C58+1)</f>
        <v/>
      </c>
      <c r="D59" s="210"/>
      <c r="E59" s="211"/>
      <c r="F59" s="212"/>
      <c r="G59" s="212"/>
      <c r="H59" s="212"/>
      <c r="I59" s="213"/>
      <c r="J59" s="214"/>
      <c r="K59" s="215"/>
      <c r="L59" s="216"/>
      <c r="M59" s="213" t="str">
        <f aca="false">IF(Table14[[#This Row],[Progress %]]="","",Table14[[#This Row],[Progress %]]*Table14[[#This Row],[Value £]])</f>
        <v/>
      </c>
      <c r="N59" s="215"/>
    </row>
    <row r="60" s="207" customFormat="true" ht="65.15" hidden="false" customHeight="true" outlineLevel="0" collapsed="false">
      <c r="B60" s="208"/>
      <c r="C60" s="209" t="str">
        <f aca="false">IF(Table14[[#This Row],[Description]]="","",C59+1)</f>
        <v/>
      </c>
      <c r="D60" s="210"/>
      <c r="E60" s="211"/>
      <c r="F60" s="212"/>
      <c r="G60" s="212"/>
      <c r="H60" s="212"/>
      <c r="I60" s="213"/>
      <c r="J60" s="214"/>
      <c r="K60" s="215"/>
      <c r="L60" s="216"/>
      <c r="M60" s="213" t="str">
        <f aca="false">IF(Table14[[#This Row],[Progress %]]="","",Table14[[#This Row],[Progress %]]*Table14[[#This Row],[Value £]])</f>
        <v/>
      </c>
      <c r="N60" s="215"/>
    </row>
    <row r="61" s="207" customFormat="true" ht="65.15" hidden="false" customHeight="true" outlineLevel="0" collapsed="false">
      <c r="B61" s="208"/>
      <c r="C61" s="209" t="str">
        <f aca="false">IF(Table14[[#This Row],[Description]]="","",C60+1)</f>
        <v/>
      </c>
      <c r="D61" s="210"/>
      <c r="E61" s="211"/>
      <c r="F61" s="212"/>
      <c r="G61" s="212"/>
      <c r="H61" s="212"/>
      <c r="I61" s="213"/>
      <c r="J61" s="214"/>
      <c r="K61" s="215"/>
      <c r="L61" s="216"/>
      <c r="M61" s="213" t="str">
        <f aca="false">IF(Table14[[#This Row],[Progress %]]="","",Table14[[#This Row],[Progress %]]*Table14[[#This Row],[Value £]])</f>
        <v/>
      </c>
      <c r="N61" s="215"/>
    </row>
    <row r="62" s="207" customFormat="true" ht="65.15" hidden="false" customHeight="true" outlineLevel="0" collapsed="false">
      <c r="B62" s="208"/>
      <c r="C62" s="209" t="str">
        <f aca="false">IF(Table14[[#This Row],[Description]]="","",C61+1)</f>
        <v/>
      </c>
      <c r="D62" s="210"/>
      <c r="E62" s="211"/>
      <c r="F62" s="212"/>
      <c r="G62" s="212"/>
      <c r="H62" s="212"/>
      <c r="I62" s="213"/>
      <c r="J62" s="214"/>
      <c r="K62" s="215"/>
      <c r="L62" s="216"/>
      <c r="M62" s="213" t="str">
        <f aca="false">IF(Table14[[#This Row],[Progress %]]="","",Table14[[#This Row],[Progress %]]*Table14[[#This Row],[Value £]])</f>
        <v/>
      </c>
      <c r="N62" s="215"/>
    </row>
    <row r="63" s="207" customFormat="true" ht="65.15" hidden="false" customHeight="true" outlineLevel="0" collapsed="false">
      <c r="B63" s="208"/>
      <c r="C63" s="209" t="str">
        <f aca="false">IF(Table14[[#This Row],[Description]]="","",C62+1)</f>
        <v/>
      </c>
      <c r="D63" s="210"/>
      <c r="E63" s="211"/>
      <c r="F63" s="212"/>
      <c r="G63" s="212"/>
      <c r="H63" s="212"/>
      <c r="I63" s="213"/>
      <c r="J63" s="214"/>
      <c r="K63" s="215"/>
      <c r="L63" s="216"/>
      <c r="M63" s="213" t="str">
        <f aca="false">IF(Table14[[#This Row],[Progress %]]="","",Table14[[#This Row],[Progress %]]*Table14[[#This Row],[Value £]])</f>
        <v/>
      </c>
      <c r="N63" s="215"/>
    </row>
    <row r="64" s="207" customFormat="true" ht="65.15" hidden="false" customHeight="true" outlineLevel="0" collapsed="false">
      <c r="B64" s="208"/>
      <c r="C64" s="209" t="str">
        <f aca="false">IF(Table14[[#This Row],[Description]]="","",C63+1)</f>
        <v/>
      </c>
      <c r="D64" s="210"/>
      <c r="E64" s="211"/>
      <c r="F64" s="212"/>
      <c r="G64" s="212"/>
      <c r="H64" s="212"/>
      <c r="I64" s="213"/>
      <c r="J64" s="214"/>
      <c r="K64" s="218"/>
      <c r="L64" s="219"/>
      <c r="M64" s="220" t="str">
        <f aca="false">IF(Table14[[#This Row],[Progress %]]="","",Table14[[#This Row],[Progress %]]*Table14[[#This Row],[Value £]])</f>
        <v/>
      </c>
      <c r="N64" s="215"/>
    </row>
    <row r="65" s="207" customFormat="true" ht="65.15" hidden="false" customHeight="true" outlineLevel="0" collapsed="false">
      <c r="B65" s="208"/>
      <c r="C65" s="209" t="str">
        <f aca="false">IF(Table14[[#This Row],[Description]]="","",C64+1)</f>
        <v/>
      </c>
      <c r="D65" s="210"/>
      <c r="E65" s="211"/>
      <c r="F65" s="212"/>
      <c r="G65" s="212"/>
      <c r="H65" s="212"/>
      <c r="I65" s="213"/>
      <c r="J65" s="214"/>
      <c r="K65" s="215"/>
      <c r="L65" s="216"/>
      <c r="M65" s="213" t="str">
        <f aca="false">IF(Table14[[#This Row],[Progress %]]="","",Table14[[#This Row],[Progress %]]*Table14[[#This Row],[Value £]])</f>
        <v/>
      </c>
      <c r="N65" s="215"/>
    </row>
    <row r="66" s="207" customFormat="true" ht="65.15" hidden="false" customHeight="true" outlineLevel="0" collapsed="false">
      <c r="B66" s="208"/>
      <c r="C66" s="209" t="str">
        <f aca="false">IF(Table14[[#This Row],[Description]]="","",C65+1)</f>
        <v/>
      </c>
      <c r="D66" s="210"/>
      <c r="E66" s="211"/>
      <c r="F66" s="212"/>
      <c r="G66" s="212"/>
      <c r="H66" s="212"/>
      <c r="I66" s="213"/>
      <c r="J66" s="214"/>
      <c r="K66" s="215"/>
      <c r="L66" s="216"/>
      <c r="M66" s="213" t="str">
        <f aca="false">IF(Table14[[#This Row],[Progress %]]="","",Table14[[#This Row],[Progress %]]*Table14[[#This Row],[Value £]])</f>
        <v/>
      </c>
      <c r="N66" s="215"/>
    </row>
    <row r="67" s="207" customFormat="true" ht="65.15" hidden="false" customHeight="true" outlineLevel="0" collapsed="false">
      <c r="B67" s="208"/>
      <c r="C67" s="209" t="str">
        <f aca="false">IF(Table14[[#This Row],[Description]]="","",C66+1)</f>
        <v/>
      </c>
      <c r="D67" s="210"/>
      <c r="E67" s="211"/>
      <c r="F67" s="212"/>
      <c r="G67" s="212"/>
      <c r="H67" s="212"/>
      <c r="I67" s="213"/>
      <c r="J67" s="214"/>
      <c r="K67" s="215"/>
      <c r="L67" s="216"/>
      <c r="M67" s="213" t="str">
        <f aca="false">IF(Table14[[#This Row],[Progress %]]="","",Table14[[#This Row],[Progress %]]*Table14[[#This Row],[Value £]])</f>
        <v/>
      </c>
      <c r="N67" s="215"/>
    </row>
    <row r="68" s="207" customFormat="true" ht="65.15" hidden="false" customHeight="true" outlineLevel="0" collapsed="false">
      <c r="B68" s="208"/>
      <c r="C68" s="209" t="str">
        <f aca="false">IF(Table14[[#This Row],[Description]]="","",C67+1)</f>
        <v/>
      </c>
      <c r="D68" s="210"/>
      <c r="E68" s="211"/>
      <c r="F68" s="212"/>
      <c r="G68" s="212"/>
      <c r="H68" s="212"/>
      <c r="I68" s="213"/>
      <c r="J68" s="214"/>
      <c r="K68" s="215"/>
      <c r="L68" s="216"/>
      <c r="M68" s="213" t="str">
        <f aca="false">IF(Table14[[#This Row],[Progress %]]="","",Table14[[#This Row],[Progress %]]*Table14[[#This Row],[Value £]])</f>
        <v/>
      </c>
      <c r="N68" s="215"/>
    </row>
    <row r="69" s="207" customFormat="true" ht="65.15" hidden="false" customHeight="true" outlineLevel="0" collapsed="false">
      <c r="B69" s="208"/>
      <c r="C69" s="209" t="str">
        <f aca="false">IF(Table14[[#This Row],[Description]]="","",C68+1)</f>
        <v/>
      </c>
      <c r="D69" s="210"/>
      <c r="E69" s="211"/>
      <c r="F69" s="212"/>
      <c r="G69" s="212"/>
      <c r="H69" s="212"/>
      <c r="I69" s="213"/>
      <c r="J69" s="214"/>
      <c r="K69" s="222"/>
      <c r="L69" s="223"/>
      <c r="M69" s="224" t="str">
        <f aca="false">IF(Table14[[#This Row],[Progress %]]="","",Table14[[#This Row],[Progress %]]*Table14[[#This Row],[Value £]])</f>
        <v/>
      </c>
      <c r="N69" s="215"/>
    </row>
    <row r="70" s="207" customFormat="true" ht="65.15" hidden="false" customHeight="true" outlineLevel="0" collapsed="false">
      <c r="B70" s="208"/>
      <c r="C70" s="209" t="str">
        <f aca="false">IF(Table14[[#This Row],[Description]]="","",C69+1)</f>
        <v/>
      </c>
      <c r="D70" s="210"/>
      <c r="E70" s="211"/>
      <c r="F70" s="212"/>
      <c r="G70" s="212"/>
      <c r="H70" s="212"/>
      <c r="I70" s="213"/>
      <c r="J70" s="214"/>
      <c r="K70" s="215"/>
      <c r="L70" s="216"/>
      <c r="M70" s="213" t="str">
        <f aca="false">IF(Table14[[#This Row],[Progress %]]="","",Table14[[#This Row],[Progress %]]*Table14[[#This Row],[Value £]])</f>
        <v/>
      </c>
      <c r="N70" s="215"/>
    </row>
    <row r="71" s="207" customFormat="true" ht="65.15" hidden="false" customHeight="true" outlineLevel="0" collapsed="false">
      <c r="B71" s="208"/>
      <c r="C71" s="209" t="str">
        <f aca="false">IF(Table14[[#This Row],[Description]]="","",C70+1)</f>
        <v/>
      </c>
      <c r="D71" s="210"/>
      <c r="E71" s="211"/>
      <c r="F71" s="212"/>
      <c r="G71" s="212"/>
      <c r="H71" s="212"/>
      <c r="I71" s="213"/>
      <c r="J71" s="214"/>
      <c r="K71" s="215"/>
      <c r="L71" s="216"/>
      <c r="M71" s="213" t="str">
        <f aca="false">IF(Table14[[#This Row],[Progress %]]="","",Table14[[#This Row],[Progress %]]*Table14[[#This Row],[Value £]])</f>
        <v/>
      </c>
      <c r="N71" s="215"/>
    </row>
    <row r="72" s="207" customFormat="true" ht="65.15" hidden="false" customHeight="true" outlineLevel="0" collapsed="false">
      <c r="B72" s="208"/>
      <c r="C72" s="209" t="str">
        <f aca="false">IF(Table14[[#This Row],[Description]]="","",C71+1)</f>
        <v/>
      </c>
      <c r="D72" s="210"/>
      <c r="E72" s="211"/>
      <c r="F72" s="212"/>
      <c r="G72" s="212"/>
      <c r="H72" s="212"/>
      <c r="I72" s="213"/>
      <c r="J72" s="214"/>
      <c r="K72" s="215"/>
      <c r="L72" s="216"/>
      <c r="M72" s="213" t="str">
        <f aca="false">IF(Table14[[#This Row],[Progress %]]="","",Table14[[#This Row],[Progress %]]*Table14[[#This Row],[Value £]])</f>
        <v/>
      </c>
      <c r="N72" s="215"/>
    </row>
    <row r="73" s="207" customFormat="true" ht="65.15" hidden="false" customHeight="true" outlineLevel="0" collapsed="false">
      <c r="B73" s="208"/>
      <c r="C73" s="209" t="str">
        <f aca="false">IF(Table14[[#This Row],[Description]]="","",C72+1)</f>
        <v/>
      </c>
      <c r="D73" s="210"/>
      <c r="E73" s="225"/>
      <c r="F73" s="212"/>
      <c r="G73" s="212"/>
      <c r="H73" s="212"/>
      <c r="I73" s="213"/>
      <c r="J73" s="214"/>
      <c r="K73" s="222"/>
      <c r="L73" s="223"/>
      <c r="M73" s="224" t="str">
        <f aca="false">IF(Table14[[#This Row],[Progress %]]="","",Table14[[#This Row],[Progress %]]*Table14[[#This Row],[Value £]])</f>
        <v/>
      </c>
      <c r="N73" s="215"/>
    </row>
    <row r="74" s="207" customFormat="true" ht="65.15" hidden="false" customHeight="true" outlineLevel="0" collapsed="false">
      <c r="B74" s="208"/>
      <c r="C74" s="209" t="str">
        <f aca="false">IF(Table14[[#This Row],[Description]]="","",C73+1)</f>
        <v/>
      </c>
      <c r="D74" s="210"/>
      <c r="E74" s="211"/>
      <c r="F74" s="212"/>
      <c r="G74" s="212"/>
      <c r="H74" s="212"/>
      <c r="I74" s="213"/>
      <c r="J74" s="214"/>
      <c r="K74" s="215"/>
      <c r="L74" s="216"/>
      <c r="M74" s="213" t="str">
        <f aca="false">IF(Table14[[#This Row],[Progress %]]="","",Table14[[#This Row],[Progress %]]*Table14[[#This Row],[Value £]])</f>
        <v/>
      </c>
      <c r="N74" s="215"/>
    </row>
    <row r="75" s="207" customFormat="true" ht="65.15" hidden="false" customHeight="true" outlineLevel="0" collapsed="false">
      <c r="B75" s="208"/>
      <c r="C75" s="209" t="str">
        <f aca="false">IF(Table14[[#This Row],[Description]]="","",C74+1)</f>
        <v/>
      </c>
      <c r="D75" s="210"/>
      <c r="E75" s="211"/>
      <c r="F75" s="212"/>
      <c r="G75" s="212"/>
      <c r="H75" s="212"/>
      <c r="I75" s="213"/>
      <c r="J75" s="214"/>
      <c r="K75" s="215"/>
      <c r="L75" s="216"/>
      <c r="M75" s="213" t="str">
        <f aca="false">IF(Table14[[#This Row],[Progress %]]="","",Table14[[#This Row],[Progress %]]*Table14[[#This Row],[Value £]])</f>
        <v/>
      </c>
      <c r="N75" s="215"/>
    </row>
    <row r="76" s="207" customFormat="true" ht="65.15" hidden="false" customHeight="true" outlineLevel="0" collapsed="false">
      <c r="B76" s="208"/>
      <c r="C76" s="209" t="str">
        <f aca="false">IF(Table14[[#This Row],[Description]]="","",C75+1)</f>
        <v/>
      </c>
      <c r="D76" s="210"/>
      <c r="E76" s="211"/>
      <c r="F76" s="212"/>
      <c r="G76" s="212"/>
      <c r="H76" s="212"/>
      <c r="I76" s="213"/>
      <c r="J76" s="214"/>
      <c r="K76" s="215"/>
      <c r="L76" s="216"/>
      <c r="M76" s="213" t="str">
        <f aca="false">IF(Table14[[#This Row],[Progress %]]="","",Table14[[#This Row],[Progress %]]*Table14[[#This Row],[Value £]])</f>
        <v/>
      </c>
      <c r="N76" s="215"/>
    </row>
    <row r="77" s="207" customFormat="true" ht="65.15" hidden="false" customHeight="true" outlineLevel="0" collapsed="false">
      <c r="B77" s="208"/>
      <c r="C77" s="209" t="str">
        <f aca="false">IF(Table14[[#This Row],[Description]]="","",C76+1)</f>
        <v/>
      </c>
      <c r="D77" s="210"/>
      <c r="E77" s="211"/>
      <c r="F77" s="212"/>
      <c r="G77" s="212"/>
      <c r="H77" s="212"/>
      <c r="I77" s="213"/>
      <c r="J77" s="214"/>
      <c r="K77" s="215"/>
      <c r="L77" s="216"/>
      <c r="M77" s="213" t="str">
        <f aca="false">IF(Table14[[#This Row],[Progress %]]="","",Table14[[#This Row],[Progress %]]*Table14[[#This Row],[Value £]])</f>
        <v/>
      </c>
      <c r="N77" s="215"/>
    </row>
    <row r="78" s="207" customFormat="true" ht="65.15" hidden="false" customHeight="true" outlineLevel="0" collapsed="false">
      <c r="B78" s="208"/>
      <c r="C78" s="209" t="str">
        <f aca="false">IF(Table14[[#This Row],[Description]]="","",C77+1)</f>
        <v/>
      </c>
      <c r="D78" s="210"/>
      <c r="E78" s="211"/>
      <c r="F78" s="212"/>
      <c r="G78" s="212"/>
      <c r="H78" s="212"/>
      <c r="I78" s="213"/>
      <c r="J78" s="214"/>
      <c r="K78" s="215"/>
      <c r="L78" s="216"/>
      <c r="M78" s="213" t="str">
        <f aca="false">IF(Table14[[#This Row],[Progress %]]="","",Table14[[#This Row],[Progress %]]*Table14[[#This Row],[Value £]])</f>
        <v/>
      </c>
      <c r="N78" s="215"/>
    </row>
    <row r="79" s="207" customFormat="true" ht="65.15" hidden="false" customHeight="true" outlineLevel="0" collapsed="false">
      <c r="B79" s="208"/>
      <c r="C79" s="209" t="str">
        <f aca="false">IF(Table14[[#This Row],[Description]]="","",C78+1)</f>
        <v/>
      </c>
      <c r="D79" s="210"/>
      <c r="E79" s="211"/>
      <c r="F79" s="212"/>
      <c r="G79" s="212"/>
      <c r="H79" s="212"/>
      <c r="I79" s="213"/>
      <c r="J79" s="214"/>
      <c r="K79" s="215"/>
      <c r="L79" s="216"/>
      <c r="M79" s="213" t="str">
        <f aca="false">IF(Table14[[#This Row],[Progress %]]="","",Table14[[#This Row],[Progress %]]*Table14[[#This Row],[Value £]])</f>
        <v/>
      </c>
      <c r="N79" s="215"/>
    </row>
    <row r="80" s="207" customFormat="true" ht="65.15" hidden="false" customHeight="true" outlineLevel="0" collapsed="false">
      <c r="B80" s="208"/>
      <c r="C80" s="209" t="str">
        <f aca="false">IF(Table14[[#This Row],[Description]]="","",C79+1)</f>
        <v/>
      </c>
      <c r="D80" s="210"/>
      <c r="E80" s="211"/>
      <c r="F80" s="212"/>
      <c r="G80" s="212"/>
      <c r="H80" s="212"/>
      <c r="I80" s="213"/>
      <c r="J80" s="214"/>
      <c r="K80" s="215"/>
      <c r="L80" s="216"/>
      <c r="M80" s="213" t="str">
        <f aca="false">IF(Table14[[#This Row],[Progress %]]="","",Table14[[#This Row],[Progress %]]*Table14[[#This Row],[Value £]])</f>
        <v/>
      </c>
      <c r="N80" s="215"/>
    </row>
    <row r="81" s="207" customFormat="true" ht="65.15" hidden="false" customHeight="true" outlineLevel="0" collapsed="false">
      <c r="B81" s="208"/>
      <c r="C81" s="209" t="str">
        <f aca="false">IF(Table14[[#This Row],[Description]]="","",C80+1)</f>
        <v/>
      </c>
      <c r="D81" s="210"/>
      <c r="E81" s="211"/>
      <c r="F81" s="212"/>
      <c r="G81" s="212"/>
      <c r="H81" s="212"/>
      <c r="I81" s="213"/>
      <c r="J81" s="214"/>
      <c r="K81" s="215"/>
      <c r="L81" s="216"/>
      <c r="M81" s="213" t="str">
        <f aca="false">IF(Table14[[#This Row],[Progress %]]="","",Table14[[#This Row],[Progress %]]*Table14[[#This Row],[Value £]])</f>
        <v/>
      </c>
      <c r="N81" s="215"/>
    </row>
    <row r="82" s="207" customFormat="true" ht="65.15" hidden="false" customHeight="true" outlineLevel="0" collapsed="false">
      <c r="B82" s="208"/>
      <c r="C82" s="209" t="str">
        <f aca="false">IF(Table14[[#This Row],[Description]]="","",C81+1)</f>
        <v/>
      </c>
      <c r="D82" s="210"/>
      <c r="E82" s="211"/>
      <c r="F82" s="212"/>
      <c r="G82" s="212"/>
      <c r="H82" s="212"/>
      <c r="I82" s="213"/>
      <c r="J82" s="214"/>
      <c r="K82" s="215"/>
      <c r="L82" s="216"/>
      <c r="M82" s="213" t="str">
        <f aca="false">IF(Table14[[#This Row],[Progress %]]="","",Table14[[#This Row],[Progress %]]*Table14[[#This Row],[Value £]])</f>
        <v/>
      </c>
      <c r="N82" s="215"/>
    </row>
    <row r="83" s="207" customFormat="true" ht="65.15" hidden="false" customHeight="true" outlineLevel="0" collapsed="false">
      <c r="B83" s="208"/>
      <c r="C83" s="209" t="str">
        <f aca="false">IF(Table14[[#This Row],[Description]]="","",C82+1)</f>
        <v/>
      </c>
      <c r="D83" s="210"/>
      <c r="E83" s="211"/>
      <c r="F83" s="212"/>
      <c r="G83" s="212"/>
      <c r="H83" s="212"/>
      <c r="I83" s="213"/>
      <c r="J83" s="214"/>
      <c r="K83" s="215"/>
      <c r="L83" s="216"/>
      <c r="M83" s="213" t="str">
        <f aca="false">IF(Table14[[#This Row],[Progress %]]="","",Table14[[#This Row],[Progress %]]*Table14[[#This Row],[Value £]])</f>
        <v/>
      </c>
      <c r="N83" s="215"/>
    </row>
    <row r="84" s="207" customFormat="true" ht="65.15" hidden="false" customHeight="true" outlineLevel="0" collapsed="false">
      <c r="B84" s="208"/>
      <c r="C84" s="209" t="str">
        <f aca="false">IF(Table14[[#This Row],[Description]]="","",C83+1)</f>
        <v/>
      </c>
      <c r="D84" s="210"/>
      <c r="E84" s="211"/>
      <c r="F84" s="212"/>
      <c r="G84" s="212"/>
      <c r="H84" s="212"/>
      <c r="I84" s="213"/>
      <c r="J84" s="214"/>
      <c r="K84" s="215"/>
      <c r="L84" s="216"/>
      <c r="M84" s="213" t="str">
        <f aca="false">IF(Table14[[#This Row],[Progress %]]="","",Table14[[#This Row],[Progress %]]*Table14[[#This Row],[Value £]])</f>
        <v/>
      </c>
      <c r="N84" s="215"/>
    </row>
    <row r="85" s="207" customFormat="true" ht="65.15" hidden="false" customHeight="true" outlineLevel="0" collapsed="false">
      <c r="B85" s="208"/>
      <c r="C85" s="209" t="str">
        <f aca="false">IF(Table14[[#This Row],[Description]]="","",C84+1)</f>
        <v/>
      </c>
      <c r="D85" s="210"/>
      <c r="E85" s="211"/>
      <c r="F85" s="212"/>
      <c r="G85" s="212"/>
      <c r="H85" s="212"/>
      <c r="I85" s="213"/>
      <c r="J85" s="214"/>
      <c r="K85" s="215"/>
      <c r="L85" s="216"/>
      <c r="M85" s="213" t="str">
        <f aca="false">IF(Table14[[#This Row],[Progress %]]="","",Table14[[#This Row],[Progress %]]*Table14[[#This Row],[Value £]])</f>
        <v/>
      </c>
      <c r="N85" s="215"/>
    </row>
    <row r="86" s="207" customFormat="true" ht="65.15" hidden="false" customHeight="true" outlineLevel="0" collapsed="false">
      <c r="B86" s="208"/>
      <c r="C86" s="209" t="str">
        <f aca="false">IF(Table14[[#This Row],[Description]]="","",C85+1)</f>
        <v/>
      </c>
      <c r="D86" s="210"/>
      <c r="E86" s="211"/>
      <c r="F86" s="212"/>
      <c r="G86" s="212"/>
      <c r="H86" s="212"/>
      <c r="I86" s="213"/>
      <c r="J86" s="214"/>
      <c r="K86" s="215"/>
      <c r="L86" s="216"/>
      <c r="M86" s="213" t="str">
        <f aca="false">IF(Table14[[#This Row],[Progress %]]="","",Table14[[#This Row],[Progress %]]*Table14[[#This Row],[Value £]])</f>
        <v/>
      </c>
      <c r="N86" s="215"/>
    </row>
    <row r="87" s="207" customFormat="true" ht="65.15" hidden="false" customHeight="true" outlineLevel="0" collapsed="false">
      <c r="B87" s="208"/>
      <c r="C87" s="209" t="str">
        <f aca="false">IF(Table14[[#This Row],[Description]]="","",C86+1)</f>
        <v/>
      </c>
      <c r="D87" s="210"/>
      <c r="E87" s="211"/>
      <c r="F87" s="212"/>
      <c r="G87" s="212"/>
      <c r="H87" s="212"/>
      <c r="I87" s="213"/>
      <c r="J87" s="214"/>
      <c r="K87" s="215"/>
      <c r="L87" s="216"/>
      <c r="M87" s="213" t="str">
        <f aca="false">IF(Table14[[#This Row],[Progress %]]="","",Table14[[#This Row],[Progress %]]*Table14[[#This Row],[Value £]])</f>
        <v/>
      </c>
      <c r="N87" s="215"/>
    </row>
    <row r="88" s="207" customFormat="true" ht="65.15" hidden="false" customHeight="true" outlineLevel="0" collapsed="false">
      <c r="B88" s="208"/>
      <c r="C88" s="209" t="str">
        <f aca="false">IF(Table14[[#This Row],[Description]]="","",C87+1)</f>
        <v/>
      </c>
      <c r="D88" s="210"/>
      <c r="E88" s="211"/>
      <c r="F88" s="212"/>
      <c r="G88" s="212"/>
      <c r="H88" s="212"/>
      <c r="I88" s="213"/>
      <c r="J88" s="214"/>
      <c r="K88" s="215"/>
      <c r="L88" s="216"/>
      <c r="M88" s="213" t="str">
        <f aca="false">IF(Table14[[#This Row],[Progress %]]="","",Table14[[#This Row],[Progress %]]*Table14[[#This Row],[Value £]])</f>
        <v/>
      </c>
      <c r="N88" s="215"/>
    </row>
    <row r="89" s="207" customFormat="true" ht="65.15" hidden="false" customHeight="true" outlineLevel="0" collapsed="false">
      <c r="B89" s="226"/>
      <c r="C89" s="227" t="str">
        <f aca="false">IF(Table14[[#This Row],[Description]]="","",C88+1)</f>
        <v/>
      </c>
      <c r="D89" s="228"/>
      <c r="E89" s="229"/>
      <c r="F89" s="230"/>
      <c r="G89" s="230"/>
      <c r="H89" s="230"/>
      <c r="I89" s="231"/>
      <c r="J89" s="232"/>
      <c r="K89" s="233"/>
      <c r="L89" s="234"/>
      <c r="M89" s="231" t="str">
        <f aca="false">IF(Table14[[#This Row],[Progress %]]="","",Table14[[#This Row],[Progress %]]*Table14[[#This Row],[Value £]])</f>
        <v/>
      </c>
      <c r="N89" s="215"/>
    </row>
  </sheetData>
  <mergeCells count="2">
    <mergeCell ref="I2:J2"/>
    <mergeCell ref="C10:D10"/>
  </mergeCells>
  <conditionalFormatting sqref="F48:G48 F49:H1048576 F13:H47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511805555555555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146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/>
  <cp:lastPrinted>2024-10-01T15:29:09Z</cp:lastPrinted>
  <dcterms:modified xsi:type="dcterms:W3CDTF">2024-11-14T16:50:10Z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