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68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right" vertical="center" indent="15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right" vertical="center" indent="15"/>
    </xf>
    <xf numFmtId="166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right" vertical="center" indent="15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right" vertical="center" indent="15"/>
    </xf>
    <xf numFmtId="166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3226680</colOff>
      <row>5</row>
      <rowOff>94320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7720" y="165240"/>
          <a:ext cx="3821040" cy="1322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520200</colOff>
      <row>36</row>
      <rowOff>128880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8320" y="11791800"/>
          <a:ext cx="7653960" cy="10490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2772360</colOff>
      <row>4</row>
      <rowOff>410040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1600" cy="208872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1" showOutlineSymbols="1" defaultGridColor="1" view="pageBreakPreview" topLeftCell="A1" colorId="64" zoomScale="86" zoomScaleNormal="86" zoomScalePageLayoutView="86" workbookViewId="0">
      <selection pane="topLeft" activeCell="F26" activeCellId="0" sqref="F26"/>
    </sheetView>
  </sheetViews>
  <sheetFormatPr baseColWidth="8" defaultColWidth="8.82421875" defaultRowHeight="13" zeroHeight="0" outlineLevelRow="0"/>
  <cols>
    <col width="2.27" customWidth="1" style="229" min="1" max="1"/>
    <col width="8.710000000000001" customWidth="1" style="229" min="2" max="2"/>
    <col width="18.98" customWidth="1" style="230" min="3" max="3"/>
    <col width="20.51" customWidth="1" style="230" min="4" max="4"/>
    <col width="19.28" customWidth="1" style="231" min="5" max="5"/>
    <col width="19.22" customWidth="1" style="232" min="6" max="6"/>
    <col width="20.25" customWidth="1" style="233" min="7" max="7"/>
    <col width="36.82" customWidth="1" style="229" min="8" max="8"/>
    <col width="1.27" customWidth="1" style="229" min="9" max="9"/>
    <col width="1.47" customWidth="1" style="229" min="10" max="10"/>
    <col width="0.82" customWidth="1" style="229" min="11" max="11"/>
    <col width="8.82" customWidth="1" style="229" min="12" max="1024"/>
  </cols>
  <sheetData>
    <row r="2" ht="34.5" customFormat="1" customHeight="1" s="234">
      <c r="B2" s="235" t="inlineStr">
        <is>
          <t>Application For Payment</t>
        </is>
      </c>
    </row>
    <row r="3" ht="24.75" customFormat="1" customHeight="1" s="236">
      <c r="B3" s="237" t="inlineStr">
        <is>
          <t xml:space="preserve">Struct Steel Engineering Ltd. </t>
        </is>
      </c>
      <c r="E3" s="238" t="n"/>
    </row>
    <row r="4" ht="18.75" customFormat="1" customHeight="1" s="230">
      <c r="B4" s="239" t="inlineStr">
        <is>
          <t xml:space="preserve">38 Farnamullan Road, Faughard, Enniskillen, United </t>
        </is>
      </c>
      <c r="E4" s="231" t="n"/>
    </row>
    <row r="5" ht="18.75" customFormat="1" customHeight="1" s="230">
      <c r="B5" s="240" t="inlineStr">
        <is>
          <t>+44 28 6638 7001</t>
        </is>
      </c>
      <c r="E5" s="231" t="n"/>
    </row>
    <row r="6" ht="18.75" customFormat="1" customHeight="1" s="230">
      <c r="B6" s="241" t="inlineStr">
        <is>
          <t>structsteeleng.co.uk</t>
        </is>
      </c>
      <c r="C6" s="242" t="n"/>
      <c r="D6" s="242" t="n"/>
      <c r="E6" s="243" t="n"/>
      <c r="F6" s="242" t="n"/>
      <c r="G6" s="242" t="n"/>
      <c r="H6" s="242" t="n"/>
    </row>
    <row r="7" ht="13.5" customFormat="1" customHeight="1" s="236">
      <c r="B7" s="244" t="n"/>
      <c r="E7" s="238" t="n"/>
    </row>
    <row r="8" ht="25.15" customHeight="1" s="245">
      <c r="B8" s="246" t="inlineStr">
        <is>
          <t>Client</t>
        </is>
      </c>
      <c r="C8" s="247" t="n"/>
      <c r="D8" s="248" t="n"/>
      <c r="E8" s="249" t="n"/>
      <c r="F8" s="250" t="n"/>
      <c r="G8" s="250" t="n"/>
      <c r="H8" s="251" t="n"/>
      <c r="I8" s="252" t="n"/>
    </row>
    <row r="9" ht="25.15" customFormat="1" customHeight="1" s="253">
      <c r="B9" s="254" t="n"/>
      <c r="C9" s="254" t="n"/>
      <c r="D9" s="255" t="n"/>
      <c r="E9" s="256" t="n"/>
      <c r="F9" s="257" t="n"/>
      <c r="G9" s="258" t="n"/>
      <c r="H9" s="259" t="n"/>
      <c r="I9" s="260" t="n"/>
    </row>
    <row r="10" ht="25.15" customFormat="1" customHeight="1" s="253">
      <c r="B10" s="254" t="n"/>
      <c r="C10" s="261" t="n"/>
      <c r="D10" s="261" t="n"/>
      <c r="E10" s="256" t="n"/>
      <c r="F10" s="257" t="n"/>
      <c r="G10" s="257" t="n"/>
      <c r="H10" s="262" t="n"/>
      <c r="I10" s="252" t="n"/>
    </row>
    <row r="11" ht="25.15" customFormat="1" customHeight="1" s="253">
      <c r="B11" s="254" t="n"/>
      <c r="C11" s="261" t="n"/>
      <c r="D11" s="261" t="n"/>
      <c r="E11" s="256" t="n"/>
      <c r="F11" s="257" t="n"/>
      <c r="G11" s="257" t="n"/>
      <c r="H11" s="262" t="n"/>
      <c r="I11" s="252" t="n"/>
    </row>
    <row r="12" ht="25.15" customFormat="1" customHeight="1" s="253">
      <c r="B12" s="263" t="n"/>
      <c r="C12" s="264" t="n"/>
      <c r="D12" s="264" t="n"/>
      <c r="E12" s="256" t="n"/>
      <c r="F12" s="265" t="n"/>
      <c r="G12" s="265" t="n"/>
      <c r="H12" s="266" t="n"/>
      <c r="I12" s="252" t="n"/>
      <c r="M12" s="267" t="n"/>
    </row>
    <row r="13" ht="19.9" customFormat="1" customHeight="1" s="253">
      <c r="B13" s="268" t="n"/>
      <c r="D13" s="269" t="n"/>
      <c r="E13" s="256" t="n"/>
      <c r="F13" s="268" t="n"/>
      <c r="G13" s="268" t="n"/>
      <c r="H13" s="252" t="n"/>
      <c r="I13" s="252" t="n"/>
      <c r="M13" s="267" t="n"/>
    </row>
    <row r="14" ht="40.15" customFormat="1" customHeight="1" s="253">
      <c r="B14" s="270" t="inlineStr">
        <is>
          <t>Ref</t>
        </is>
      </c>
      <c r="C14" s="271" t="inlineStr">
        <is>
          <t>Category</t>
        </is>
      </c>
      <c r="D14" s="271" t="inlineStr">
        <is>
          <t>Zone</t>
        </is>
      </c>
      <c r="E14" s="272" t="inlineStr">
        <is>
          <t>Account Total</t>
        </is>
      </c>
      <c r="F14" s="273" t="inlineStr">
        <is>
          <t>% Progress</t>
        </is>
      </c>
      <c r="G14" s="274" t="inlineStr">
        <is>
          <t>Interim Payment</t>
        </is>
      </c>
      <c r="H14" s="275" t="inlineStr">
        <is>
          <t>Comment</t>
        </is>
      </c>
    </row>
    <row r="15" ht="39.75" customFormat="1" customHeight="1" s="253">
      <c r="B15" s="276" t="n">
        <v>1</v>
      </c>
      <c r="C15" s="277" t="inlineStr">
        <is>
          <t>Admins</t>
        </is>
      </c>
      <c r="D15" s="278" t="n"/>
      <c r="E15" s="279" t="n">
        <v>1001.2</v>
      </c>
      <c r="F15" s="280" t="n"/>
      <c r="G15" s="279" t="n"/>
      <c r="H15" s="281" t="n"/>
      <c r="I15" s="282" t="n"/>
    </row>
    <row r="16" ht="39.75" customFormat="1" customHeight="1" s="253">
      <c r="B16" s="276" t="n">
        <v>2</v>
      </c>
      <c r="C16" s="283" t="inlineStr">
        <is>
          <t>Cold Rolled</t>
        </is>
      </c>
      <c r="D16" s="284" t="n"/>
      <c r="E16" s="279" t="n">
        <v>97507.95</v>
      </c>
      <c r="F16" s="280" t="n"/>
      <c r="G16" s="279" t="n"/>
      <c r="H16" s="281" t="n"/>
      <c r="I16" s="282" t="n"/>
    </row>
    <row r="17" ht="39.75" customFormat="1" customHeight="1" s="253">
      <c r="B17" s="276" t="n">
        <v>3</v>
      </c>
      <c r="C17" s="285" t="inlineStr">
        <is>
          <t>Steel</t>
        </is>
      </c>
      <c r="D17" s="286" t="n"/>
      <c r="E17" s="279" t="n">
        <v>1245991.23</v>
      </c>
      <c r="F17" s="280" t="n"/>
      <c r="G17" s="279" t="n"/>
      <c r="H17" s="281" t="n"/>
      <c r="I17" s="282" t="n"/>
    </row>
    <row r="18" ht="39.75" customFormat="1" customHeight="1" s="253">
      <c r="B18" s="276" t="n">
        <v>4</v>
      </c>
      <c r="C18" s="287" t="n"/>
      <c r="D18" s="284" t="n"/>
      <c r="E18" s="279" t="n"/>
      <c r="F18" s="280" t="n"/>
      <c r="G18" s="279" t="n"/>
      <c r="H18" s="281" t="n"/>
      <c r="I18" s="282" t="n"/>
    </row>
    <row r="19" ht="39.75" customFormat="1" customHeight="1" s="253">
      <c r="B19" s="276" t="n">
        <v>5</v>
      </c>
      <c r="C19" s="288" t="n"/>
      <c r="D19" s="289" t="n"/>
      <c r="E19" s="279" t="n"/>
      <c r="F19" s="280" t="n"/>
      <c r="G19" s="279" t="n"/>
      <c r="H19" s="281" t="n"/>
      <c r="I19" s="290" t="n"/>
    </row>
    <row r="20" ht="39.75" customFormat="1" customHeight="1" s="253">
      <c r="B20" s="276" t="n"/>
      <c r="C20" s="288" t="n"/>
      <c r="D20" s="289" t="n"/>
      <c r="E20" s="291" t="n"/>
      <c r="F20" s="280" t="n"/>
      <c r="G20" s="291" t="n"/>
      <c r="H20" s="281" t="n"/>
      <c r="I20" s="290" t="n"/>
    </row>
    <row r="21" ht="39.75" customFormat="1" customHeight="1" s="253">
      <c r="B21" s="276" t="n"/>
      <c r="C21" s="288" t="n"/>
      <c r="D21" s="289" t="n"/>
      <c r="E21" s="292" t="n"/>
      <c r="F21" s="280" t="n"/>
      <c r="G21" s="292" t="n"/>
      <c r="H21" s="290" t="n"/>
      <c r="I21" s="290" t="n"/>
    </row>
    <row r="22" ht="39.75" customFormat="1" customHeight="1" s="253">
      <c r="B22" s="276" t="n"/>
      <c r="C22" s="288" t="n"/>
      <c r="D22" s="289" t="n"/>
      <c r="E22" s="292" t="n"/>
      <c r="F22" s="280" t="n"/>
      <c r="G22" s="292" t="n"/>
      <c r="H22" s="290" t="n"/>
      <c r="I22" s="290" t="n"/>
    </row>
    <row r="23" ht="39.75" customFormat="1" customHeight="1" s="253">
      <c r="B23" s="276" t="n"/>
      <c r="C23" s="293" t="n"/>
      <c r="D23" s="293" t="n"/>
      <c r="E23" s="294" t="n"/>
      <c r="F23" s="280" t="n"/>
      <c r="G23" s="294" t="n"/>
      <c r="H23" s="295" t="n"/>
      <c r="I23" s="296" t="n"/>
    </row>
    <row r="24" ht="40.5" customFormat="1" customHeight="1" s="297">
      <c r="B24" s="298" t="n"/>
      <c r="C24" s="299" t="n"/>
      <c r="D24" s="300" t="inlineStr">
        <is>
          <t>Account Total</t>
        </is>
      </c>
      <c r="E24" s="301">
        <f>SUM(E12:E23)</f>
        <v/>
      </c>
      <c r="F24" s="302" t="inlineStr">
        <is>
          <t>Progress Total</t>
        </is>
      </c>
      <c r="G24" s="301">
        <f>SUM(G12:G23)</f>
        <v/>
      </c>
      <c r="H24" s="303" t="n"/>
      <c r="I24" s="247" t="n"/>
    </row>
    <row r="25" ht="15" customFormat="1" customHeight="1" s="253">
      <c r="B25" s="304" t="n"/>
      <c r="C25" s="304" t="n"/>
      <c r="D25" s="305" t="n"/>
      <c r="E25" s="306" t="n"/>
      <c r="F25" s="307" t="n"/>
      <c r="G25" s="308" t="n"/>
      <c r="H25" s="309" t="n"/>
      <c r="I25" s="310" t="n"/>
    </row>
    <row r="26" ht="30" customFormat="1" customHeight="1" s="297">
      <c r="B26" s="269" t="n"/>
      <c r="C26" s="269" t="n"/>
      <c r="D26" s="311" t="n"/>
      <c r="E26" s="312" t="n"/>
      <c r="F26" s="250" t="n"/>
      <c r="G26" s="250" t="n"/>
      <c r="H26" s="313" t="n"/>
      <c r="I26" s="314" t="n"/>
    </row>
    <row r="27" ht="30" customFormat="1" customHeight="1" s="297">
      <c r="B27" s="269" t="n"/>
      <c r="C27" s="269" t="n"/>
      <c r="D27" s="311" t="n"/>
      <c r="E27" s="312" t="n"/>
      <c r="F27" s="257" t="n"/>
      <c r="G27" s="257" t="n"/>
      <c r="H27" s="315" t="n"/>
      <c r="I27" s="316" t="n"/>
      <c r="R27" s="297" t="inlineStr">
        <is>
          <t xml:space="preserve"> </t>
        </is>
      </c>
    </row>
    <row r="28" ht="30" customFormat="1" customHeight="1" s="297">
      <c r="B28" s="269" t="n"/>
      <c r="C28" s="269" t="n"/>
      <c r="D28" s="269" t="n"/>
      <c r="E28" s="317" t="n"/>
      <c r="F28" s="257" t="n"/>
      <c r="G28" s="257" t="n"/>
      <c r="H28" s="318" t="n"/>
      <c r="I28" s="316" t="n"/>
    </row>
    <row r="29" ht="30" customFormat="1" customHeight="1" s="297">
      <c r="D29" s="269" t="n"/>
      <c r="E29" s="231" t="n"/>
      <c r="F29" s="319" t="n"/>
      <c r="G29" s="319" t="n"/>
      <c r="H29" s="318" t="n"/>
      <c r="I29" s="316" t="n"/>
    </row>
    <row r="30" ht="30" customFormat="1" customHeight="1" s="297">
      <c r="D30" s="269" t="n"/>
      <c r="E30" s="231" t="n"/>
      <c r="F30" s="320" t="n"/>
      <c r="G30" s="320" t="n"/>
      <c r="H30" s="321" t="n"/>
      <c r="I30" s="322" t="n"/>
    </row>
    <row r="31" ht="27" customFormat="1" customHeight="1" s="253">
      <c r="D31" s="323" t="n"/>
      <c r="E31" s="231" t="n"/>
    </row>
    <row r="32" ht="27" customFormat="1" customHeight="1" s="253">
      <c r="D32" s="269" t="n"/>
      <c r="E32" s="231" t="n"/>
    </row>
    <row r="33" ht="16.9" customFormat="1" customHeight="1" s="253">
      <c r="E33" s="231" t="n"/>
      <c r="F33" s="232" t="n"/>
      <c r="G33" s="233" t="n"/>
      <c r="H33" s="229" t="n"/>
      <c r="I33" s="229" t="n"/>
      <c r="Q33" s="253" t="inlineStr">
        <is>
          <t xml:space="preserve"> </t>
        </is>
      </c>
    </row>
    <row r="34" ht="13" customFormat="1" customHeight="1" s="253">
      <c r="C34" s="269" t="n"/>
      <c r="D34" s="269" t="n"/>
      <c r="E34" s="231" t="n"/>
      <c r="F34" s="232" t="n"/>
      <c r="G34" s="233" t="n"/>
      <c r="H34" s="229" t="n"/>
      <c r="I34" s="229" t="n"/>
    </row>
    <row r="35" ht="13" customHeight="1" s="245">
      <c r="B35" s="253" t="n"/>
      <c r="C35" s="269" t="n"/>
      <c r="D35" s="269" t="n"/>
      <c r="J35" s="229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24" min="1" max="1"/>
    <col width="19.91" customWidth="1" style="325" min="2" max="2"/>
    <col width="16.83" customWidth="1" style="325" min="3" max="3"/>
    <col width="16.83" customWidth="1" style="324" min="4" max="5"/>
    <col width="16.83" customWidth="1" style="326" min="6" max="6"/>
    <col width="16.83" customWidth="1" style="327" min="7" max="7"/>
    <col width="16.83" customWidth="1" style="328" min="8" max="8"/>
    <col width="16.83" customWidth="1" style="327" min="9" max="9"/>
    <col width="24.18" customWidth="1" style="327" min="10" max="10"/>
    <col width="5.82" customWidth="1" style="324" min="11" max="11"/>
    <col width="9.18" customWidth="1" style="324" min="12" max="12"/>
    <col hidden="1" width="13.72" customWidth="1" style="324" min="13" max="13"/>
    <col width="9.18" customWidth="1" style="324" min="14" max="15"/>
    <col width="16.83" customWidth="1" style="324" min="16" max="16"/>
    <col width="9.18" customWidth="1" style="324" min="17" max="1024"/>
  </cols>
  <sheetData>
    <row r="1" ht="14.5" customHeight="1" s="245"/>
    <row r="2" ht="24.75" customHeight="1" s="245">
      <c r="B2" s="329" t="inlineStr">
        <is>
          <t>BOQ Summary</t>
        </is>
      </c>
      <c r="C2" s="330" t="n"/>
      <c r="D2" s="330" t="n"/>
      <c r="E2" s="330" t="n"/>
      <c r="F2" s="330" t="n"/>
      <c r="G2" s="330" t="n"/>
      <c r="H2" s="330" t="n"/>
      <c r="I2" s="330" t="n"/>
      <c r="J2" s="330" t="n"/>
    </row>
    <row r="4" ht="29.25" customHeight="1" s="245">
      <c r="B4" s="331" t="inlineStr">
        <is>
          <t>Item</t>
        </is>
      </c>
      <c r="C4" s="331" t="inlineStr">
        <is>
          <t>Zone</t>
        </is>
      </c>
      <c r="D4" s="331" t="inlineStr">
        <is>
          <t>QTY</t>
        </is>
      </c>
      <c r="E4" s="331" t="inlineStr">
        <is>
          <t>UNIT</t>
        </is>
      </c>
      <c r="F4" s="332" t="inlineStr">
        <is>
          <t>RATE</t>
        </is>
      </c>
      <c r="G4" s="333" t="inlineStr">
        <is>
          <t>TOTAL</t>
        </is>
      </c>
      <c r="H4" s="334" t="inlineStr">
        <is>
          <t>Progress %</t>
        </is>
      </c>
      <c r="I4" s="335" t="inlineStr">
        <is>
          <t>Progress £</t>
        </is>
      </c>
      <c r="J4" s="335" t="inlineStr">
        <is>
          <t>Notes</t>
        </is>
      </c>
    </row>
    <row r="5" ht="29.25" customHeight="1" s="245">
      <c r="B5" s="336" t="n"/>
      <c r="C5" s="337" t="n"/>
      <c r="D5" s="338" t="n"/>
      <c r="E5" s="339" t="n"/>
      <c r="F5" s="340" t="n"/>
      <c r="G5" s="341" t="n"/>
      <c r="H5" s="342" t="n">
        <v>1</v>
      </c>
      <c r="I5" s="343">
        <f>IF(H5="","",H5*G5)</f>
        <v/>
      </c>
      <c r="J5" s="343" t="n"/>
      <c r="O5" s="344" t="n"/>
      <c r="Q5" s="324" t="inlineStr">
        <is>
          <t>Galv</t>
        </is>
      </c>
    </row>
    <row r="6" ht="29.25" customHeight="1" s="245">
      <c r="B6" s="336" t="inlineStr">
        <is>
          <t>Admins</t>
        </is>
      </c>
      <c r="C6" s="337" t="inlineStr">
        <is>
          <t>unit4</t>
        </is>
      </c>
      <c r="D6" s="338" t="n">
        <v>0.212</v>
      </c>
      <c r="E6" s="339" t="n"/>
      <c r="F6" s="340" t="n">
        <v>5100</v>
      </c>
      <c r="G6" s="341" t="n">
        <v>1001.2</v>
      </c>
      <c r="H6" s="342" t="n">
        <v>1</v>
      </c>
      <c r="I6" s="343">
        <f>IF(H6="","",H6*G6)</f>
        <v/>
      </c>
      <c r="J6" s="343" t="n"/>
      <c r="O6" s="344" t="n"/>
    </row>
    <row r="7" ht="29.25" customHeight="1" s="245">
      <c r="B7" s="336" t="inlineStr">
        <is>
          <t>Cold Rolled</t>
        </is>
      </c>
      <c r="C7" s="337" t="inlineStr">
        <is>
          <t>Unit 2</t>
        </is>
      </c>
      <c r="D7" s="338" t="n">
        <v>59.6417</v>
      </c>
      <c r="E7" s="339" t="n"/>
      <c r="F7" s="340" t="n">
        <v>7875</v>
      </c>
      <c r="G7" s="341" t="n">
        <v>93935.67750000001</v>
      </c>
      <c r="H7" s="342" t="n"/>
      <c r="I7" s="343">
        <f>IF(H7="","",H7*G7)</f>
        <v/>
      </c>
      <c r="J7" s="343" t="n"/>
      <c r="O7" s="344" t="n"/>
    </row>
    <row r="8" ht="29.25" customHeight="1" s="245">
      <c r="B8" s="336" t="inlineStr">
        <is>
          <t>Cold Rolled</t>
        </is>
      </c>
      <c r="C8" s="337" t="inlineStr">
        <is>
          <t>Unit 3</t>
        </is>
      </c>
      <c r="D8" s="338" t="n">
        <v>1.06635</v>
      </c>
      <c r="E8" s="339" t="n"/>
      <c r="F8" s="340" t="n">
        <v>16750</v>
      </c>
      <c r="G8" s="341" t="n">
        <v>3572.2725</v>
      </c>
      <c r="H8" s="342" t="n"/>
      <c r="I8" s="343" t="n"/>
      <c r="J8" s="343" t="n"/>
      <c r="O8" s="344" t="n"/>
    </row>
    <row r="9" ht="29.25" customHeight="1" s="245">
      <c r="B9" s="336" t="inlineStr">
        <is>
          <t>Steel</t>
        </is>
      </c>
      <c r="C9" s="337" t="inlineStr">
        <is>
          <t>Unit 2</t>
        </is>
      </c>
      <c r="D9" s="338" t="n">
        <v>223.94896</v>
      </c>
      <c r="E9" s="339" t="n"/>
      <c r="F9" s="340" t="n">
        <v>332600</v>
      </c>
      <c r="G9" s="341" t="n">
        <v>487350.072</v>
      </c>
      <c r="H9" s="342" t="n"/>
      <c r="I9" s="343" t="n"/>
      <c r="J9" s="343" t="n"/>
      <c r="O9" s="344" t="n"/>
    </row>
    <row r="10" ht="29.25" customHeight="1" s="245">
      <c r="B10" s="336" t="inlineStr">
        <is>
          <t>Steel</t>
        </is>
      </c>
      <c r="C10" s="337" t="inlineStr">
        <is>
          <t>Unit 3</t>
        </is>
      </c>
      <c r="D10" s="338" t="n">
        <v>394.96467</v>
      </c>
      <c r="E10" s="339" t="n"/>
      <c r="F10" s="340" t="n">
        <v>308175</v>
      </c>
      <c r="G10" s="341" t="n">
        <v>758641.156</v>
      </c>
      <c r="H10" s="342" t="n"/>
      <c r="I10" s="343" t="n"/>
      <c r="J10" s="343" t="n"/>
      <c r="O10" s="344" t="n"/>
    </row>
    <row r="11" ht="27" customFormat="1" customHeight="1" s="345">
      <c r="B11" s="346" t="n"/>
      <c r="C11" s="346" t="n"/>
      <c r="D11" s="346" t="n"/>
      <c r="E11" s="346" t="n"/>
      <c r="F11" s="347" t="n"/>
      <c r="G11" s="348">
        <f>SUM(G5:G8)</f>
        <v/>
      </c>
      <c r="H11" s="349">
        <f>I11/G11</f>
        <v/>
      </c>
      <c r="I11" s="348">
        <f>SUM(I5:I8)</f>
        <v/>
      </c>
      <c r="J11" s="348" t="n"/>
    </row>
    <row r="12" ht="14" customHeight="1" s="245">
      <c r="G12" s="327" t="inlineStr">
        <is>
          <t xml:space="preserve"> </t>
        </is>
      </c>
    </row>
    <row r="15" ht="14" customHeight="1" s="245">
      <c r="D15" s="324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0" showOutlineSymbols="1" defaultGridColor="1" view="pageBreakPreview" topLeftCell="A1" colorId="64" zoomScale="80" zoomScaleNormal="100" zoomScalePageLayoutView="80" workbookViewId="0">
      <selection pane="topLeft" activeCell="B2" activeCellId="0" sqref="B2"/>
    </sheetView>
  </sheetViews>
  <sheetFormatPr baseColWidth="8" defaultColWidth="8.82421875" defaultRowHeight="14.5" zeroHeight="0" outlineLevelRow="0"/>
  <cols>
    <col width="10.45" customWidth="1" style="350" min="1" max="1"/>
    <col width="23.18" customWidth="1" style="351" min="2" max="2"/>
    <col width="13.45" customWidth="1" style="352" min="3" max="3"/>
    <col width="11.45" customWidth="1" style="352" min="4" max="4"/>
    <col width="11.54" customWidth="1" style="352" min="5" max="5"/>
    <col width="11.54" customWidth="1" style="353" min="6" max="6"/>
    <col width="8.640000000000001" customWidth="1" style="352" min="7" max="7"/>
    <col width="9.449999999999999" customWidth="1" style="354" min="8" max="8"/>
    <col width="9.18" customWidth="1" style="355" min="9" max="9"/>
    <col width="11.72" customWidth="1" style="356" min="10" max="10"/>
    <col width="13.09" customWidth="1" style="356" min="11" max="11"/>
    <col width="24.82" customWidth="1" style="357" min="12" max="12"/>
    <col hidden="1" width="14.27" customWidth="1" style="357" min="13" max="13"/>
    <col hidden="1" width="11.27" customWidth="1" style="357" min="14" max="14"/>
    <col hidden="1" width="20.45" customWidth="1" style="358" min="15" max="15"/>
    <col hidden="1" width="9.140000000000001" customWidth="1" style="351" min="16" max="20"/>
    <col width="8.82" customWidth="1" style="351" min="21" max="1024"/>
  </cols>
  <sheetData>
    <row r="2" ht="26.5" customFormat="1" customHeight="1" s="359">
      <c r="A2" s="360" t="inlineStr">
        <is>
          <t xml:space="preserve">Ref </t>
        </is>
      </c>
      <c r="B2" s="361" t="inlineStr">
        <is>
          <t>Item</t>
        </is>
      </c>
      <c r="C2" s="361" t="inlineStr">
        <is>
          <t>Cat</t>
        </is>
      </c>
      <c r="D2" s="361" t="inlineStr">
        <is>
          <t>Type</t>
        </is>
      </c>
      <c r="E2" s="361" t="inlineStr">
        <is>
          <t>Zone</t>
        </is>
      </c>
      <c r="F2" s="362" t="inlineStr">
        <is>
          <t>ACW</t>
        </is>
      </c>
      <c r="G2" s="363" t="inlineStr">
        <is>
          <t>Pcs</t>
        </is>
      </c>
      <c r="H2" s="363" t="inlineStr">
        <is>
          <t>QTY</t>
        </is>
      </c>
      <c r="I2" s="364" t="inlineStr">
        <is>
          <t>Unit</t>
        </is>
      </c>
      <c r="J2" s="365" t="inlineStr">
        <is>
          <t xml:space="preserve">Rate </t>
        </is>
      </c>
      <c r="K2" s="365" t="inlineStr">
        <is>
          <t xml:space="preserve">Total </t>
        </is>
      </c>
      <c r="O2" s="366" t="n"/>
    </row>
    <row r="3" ht="10.5" customFormat="1" customHeight="1" s="367">
      <c r="A3" s="368" t="n"/>
      <c r="B3" s="369" t="n"/>
      <c r="C3" s="369" t="n"/>
      <c r="D3" s="369" t="n"/>
      <c r="E3" s="370" t="n"/>
      <c r="F3" s="371" t="n"/>
      <c r="G3" s="372" t="n"/>
      <c r="H3" s="372" t="n"/>
      <c r="I3" s="373" t="n"/>
      <c r="J3" s="374" t="n"/>
      <c r="K3" s="374" t="n"/>
      <c r="BE3" s="375" t="inlineStr">
        <is>
          <t>stanchions; member profile not exceeding 25kg/m</t>
        </is>
      </c>
    </row>
    <row r="4" ht="33" customFormat="1" customHeight="1" s="367">
      <c r="A4" s="368" t="n"/>
      <c r="B4" s="376" t="inlineStr">
        <is>
          <t>Steelwork Supply &amp; Install</t>
        </is>
      </c>
      <c r="C4" s="369" t="n"/>
      <c r="D4" s="369" t="n"/>
      <c r="E4" s="370" t="n"/>
      <c r="F4" s="371" t="n"/>
      <c r="G4" s="372" t="n"/>
      <c r="H4" s="372" t="n"/>
      <c r="I4" s="373" t="n"/>
      <c r="J4" s="374" t="n"/>
      <c r="K4" s="374" t="n"/>
      <c r="M4" s="377" t="inlineStr">
        <is>
          <t>Zone</t>
        </is>
      </c>
      <c r="N4" s="378" t="inlineStr">
        <is>
          <t>Sum of QTY</t>
        </is>
      </c>
      <c r="O4" s="357" t="n"/>
      <c r="BE4" s="375" t="inlineStr">
        <is>
          <t>beams; member profile 25 - 50kg/m</t>
        </is>
      </c>
    </row>
    <row r="5" ht="33" customFormat="1" customHeight="1" s="367">
      <c r="A5" s="368" t="n">
        <v>1</v>
      </c>
      <c r="B5" s="379" t="inlineStr">
        <is>
          <t>CHS139.7*5.0</t>
        </is>
      </c>
      <c r="C5" s="379" t="inlineStr">
        <is>
          <t>Steel</t>
        </is>
      </c>
      <c r="D5" s="379" t="inlineStr">
        <is>
          <t>Beam</t>
        </is>
      </c>
      <c r="E5" s="380" t="inlineStr">
        <is>
          <t>Unit 2</t>
        </is>
      </c>
      <c r="F5" s="381" t="inlineStr">
        <is>
          <t>108.6600000000</t>
        </is>
      </c>
      <c r="G5" s="382" t="n">
        <v>2</v>
      </c>
      <c r="H5" s="383" t="inlineStr">
        <is>
          <t>0.2173200000</t>
        </is>
      </c>
      <c r="I5" s="384" t="inlineStr">
        <is>
          <t>tonne</t>
        </is>
      </c>
      <c r="J5" s="385" t="inlineStr">
        <is>
          <t>3400.0</t>
        </is>
      </c>
      <c r="K5" s="385" t="inlineStr">
        <is>
          <t>738.8880000</t>
        </is>
      </c>
      <c r="M5" s="386" t="inlineStr">
        <is>
          <t>Total Result</t>
        </is>
      </c>
      <c r="N5" s="387" t="n"/>
      <c r="O5" s="357" t="n"/>
      <c r="BE5" s="375" t="inlineStr">
        <is>
          <t>beams; member profile 50 - 100kg/m</t>
        </is>
      </c>
    </row>
    <row r="6" ht="33" customFormat="1" customHeight="1" s="367">
      <c r="A6" s="368" t="n">
        <v>2</v>
      </c>
      <c r="B6" s="379" t="inlineStr">
        <is>
          <t>PFC-200*90*30</t>
        </is>
      </c>
      <c r="C6" s="379" t="inlineStr">
        <is>
          <t>Steel</t>
        </is>
      </c>
      <c r="D6" s="379" t="inlineStr">
        <is>
          <t>Beam</t>
        </is>
      </c>
      <c r="E6" s="380" t="inlineStr">
        <is>
          <t>Unit 2</t>
        </is>
      </c>
      <c r="F6" s="381" t="inlineStr">
        <is>
          <t>146.9890000000</t>
        </is>
      </c>
      <c r="G6" s="382" t="n">
        <v>40</v>
      </c>
      <c r="H6" s="383" t="inlineStr">
        <is>
          <t>5.8795600000</t>
        </is>
      </c>
      <c r="I6" s="384" t="inlineStr">
        <is>
          <t>tonne</t>
        </is>
      </c>
      <c r="J6" s="385" t="inlineStr">
        <is>
          <t>2375.0</t>
        </is>
      </c>
      <c r="K6" s="385" t="inlineStr">
        <is>
          <t>13963.9550000</t>
        </is>
      </c>
      <c r="M6" s="357" t="n"/>
      <c r="N6" s="357" t="n"/>
      <c r="O6" s="357" t="n"/>
      <c r="BE6" s="375" t="inlineStr">
        <is>
          <t>stanchions; member profile 25 - 50kg/m</t>
        </is>
      </c>
    </row>
    <row r="7" ht="33" customFormat="1" customHeight="1" s="367">
      <c r="A7" s="368" t="n">
        <v>3</v>
      </c>
      <c r="B7" s="379" t="inlineStr">
        <is>
          <t>SHS140*140*5.0</t>
        </is>
      </c>
      <c r="C7" s="379" t="inlineStr">
        <is>
          <t>Steel</t>
        </is>
      </c>
      <c r="D7" s="379" t="inlineStr">
        <is>
          <t>Beam</t>
        </is>
      </c>
      <c r="E7" s="380" t="inlineStr">
        <is>
          <t>Unit 2</t>
        </is>
      </c>
      <c r="F7" s="381" t="inlineStr">
        <is>
          <t>140.9716666667</t>
        </is>
      </c>
      <c r="G7" s="382" t="n">
        <v>6</v>
      </c>
      <c r="H7" s="383" t="inlineStr">
        <is>
          <t>0.8458300000</t>
        </is>
      </c>
      <c r="I7" s="384" t="inlineStr">
        <is>
          <t>tonne</t>
        </is>
      </c>
      <c r="J7" s="385" t="inlineStr">
        <is>
          <t>2975.0</t>
        </is>
      </c>
      <c r="K7" s="385" t="inlineStr">
        <is>
          <t>2516.3442500</t>
        </is>
      </c>
      <c r="M7" s="357" t="n"/>
      <c r="N7" s="357" t="n"/>
      <c r="O7" s="357" t="n"/>
      <c r="BE7" s="375" t="n"/>
    </row>
    <row r="8" ht="33" customFormat="1" customHeight="1" s="367">
      <c r="A8" s="368" t="n">
        <v>4</v>
      </c>
      <c r="B8" s="379" t="inlineStr">
        <is>
          <t>SHS160*160*6.3</t>
        </is>
      </c>
      <c r="C8" s="379" t="inlineStr">
        <is>
          <t>Steel</t>
        </is>
      </c>
      <c r="D8" s="379" t="inlineStr">
        <is>
          <t>Beam</t>
        </is>
      </c>
      <c r="E8" s="380" t="inlineStr">
        <is>
          <t>Unit 2</t>
        </is>
      </c>
      <c r="F8" s="381" t="inlineStr">
        <is>
          <t>138.3650000000</t>
        </is>
      </c>
      <c r="G8" s="382" t="n">
        <v>2</v>
      </c>
      <c r="H8" s="383" t="inlineStr">
        <is>
          <t>0.2767300000</t>
        </is>
      </c>
      <c r="I8" s="384" t="inlineStr">
        <is>
          <t>tonne</t>
        </is>
      </c>
      <c r="J8" s="385" t="inlineStr">
        <is>
          <t>3450.0</t>
        </is>
      </c>
      <c r="K8" s="385" t="inlineStr">
        <is>
          <t>954.7185000</t>
        </is>
      </c>
      <c r="M8" s="357" t="n"/>
      <c r="N8" s="357" t="n"/>
      <c r="O8" s="357" t="n"/>
      <c r="BE8" s="375" t="n"/>
    </row>
    <row r="9" ht="33" customFormat="1" customHeight="1" s="367">
      <c r="A9" s="368" t="n">
        <v>5</v>
      </c>
      <c r="B9" s="379" t="inlineStr">
        <is>
          <t>SHS200*200*8.0</t>
        </is>
      </c>
      <c r="C9" s="379" t="inlineStr">
        <is>
          <t>Steel</t>
        </is>
      </c>
      <c r="D9" s="379" t="inlineStr">
        <is>
          <t>Beam</t>
        </is>
      </c>
      <c r="E9" s="380" t="inlineStr">
        <is>
          <t>Unit 2</t>
        </is>
      </c>
      <c r="F9" s="381" t="inlineStr">
        <is>
          <t>303.9300000000</t>
        </is>
      </c>
      <c r="G9" s="382" t="n">
        <v>2</v>
      </c>
      <c r="H9" s="383" t="inlineStr">
        <is>
          <t>0.6078600000</t>
        </is>
      </c>
      <c r="I9" s="384" t="inlineStr">
        <is>
          <t>tonne</t>
        </is>
      </c>
      <c r="J9" s="385" t="inlineStr">
        <is>
          <t>2450.0</t>
        </is>
      </c>
      <c r="K9" s="385" t="inlineStr">
        <is>
          <t>1489.2570000</t>
        </is>
      </c>
      <c r="M9" s="357" t="n"/>
      <c r="N9" s="357" t="n"/>
      <c r="O9" s="357" t="n"/>
      <c r="BE9" s="375" t="n"/>
    </row>
    <row r="10" ht="33" customFormat="1" customHeight="1" s="367">
      <c r="A10" s="368" t="n">
        <v>6</v>
      </c>
      <c r="B10" s="379" t="inlineStr">
        <is>
          <t>UB203*133*25</t>
        </is>
      </c>
      <c r="C10" s="379" t="inlineStr">
        <is>
          <t>Steel</t>
        </is>
      </c>
      <c r="D10" s="379" t="inlineStr">
        <is>
          <t>Beam</t>
        </is>
      </c>
      <c r="E10" s="380" t="inlineStr">
        <is>
          <t>Unit 2</t>
        </is>
      </c>
      <c r="F10" s="381" t="inlineStr">
        <is>
          <t>136.9257142857</t>
        </is>
      </c>
      <c r="G10" s="382" t="n">
        <v>7</v>
      </c>
      <c r="H10" s="383" t="inlineStr">
        <is>
          <t>0.9584800000</t>
        </is>
      </c>
      <c r="I10" s="384" t="inlineStr">
        <is>
          <t>tonne</t>
        </is>
      </c>
      <c r="J10" s="385" t="inlineStr">
        <is>
          <t>2675.0</t>
        </is>
      </c>
      <c r="K10" s="385" t="inlineStr">
        <is>
          <t>2563.9340000</t>
        </is>
      </c>
      <c r="M10" s="357" t="n"/>
      <c r="N10" s="357" t="n"/>
      <c r="O10" s="357" t="n"/>
      <c r="BE10" s="375" t="n"/>
    </row>
    <row r="11" ht="33" customFormat="1" customHeight="1" s="367">
      <c r="A11" s="368" t="n">
        <v>7</v>
      </c>
      <c r="B11" s="379" t="inlineStr">
        <is>
          <t>UB457*152*52</t>
        </is>
      </c>
      <c r="C11" s="379" t="inlineStr">
        <is>
          <t>Steel</t>
        </is>
      </c>
      <c r="D11" s="379" t="inlineStr">
        <is>
          <t>Beam</t>
        </is>
      </c>
      <c r="E11" s="380" t="inlineStr">
        <is>
          <t>Unit 2</t>
        </is>
      </c>
      <c r="F11" s="381" t="inlineStr">
        <is>
          <t>572.5660000000</t>
        </is>
      </c>
      <c r="G11" s="382" t="n">
        <v>10</v>
      </c>
      <c r="H11" s="383" t="inlineStr">
        <is>
          <t>5.7256600000</t>
        </is>
      </c>
      <c r="I11" s="384" t="inlineStr">
        <is>
          <t>tonne</t>
        </is>
      </c>
      <c r="J11" s="385" t="inlineStr">
        <is>
          <t>1600.0</t>
        </is>
      </c>
      <c r="K11" s="385" t="inlineStr">
        <is>
          <t>9161.0560000</t>
        </is>
      </c>
      <c r="M11" s="357" t="n"/>
      <c r="N11" s="357" t="n"/>
      <c r="O11" s="357" t="n"/>
      <c r="BE11" s="375" t="n"/>
    </row>
    <row r="12" ht="33" customFormat="1" customHeight="1" s="367">
      <c r="A12" s="368" t="n">
        <v>8</v>
      </c>
      <c r="B12" s="379" t="inlineStr">
        <is>
          <t>CHS114.3*5.0</t>
        </is>
      </c>
      <c r="C12" s="379" t="inlineStr">
        <is>
          <t>Steel</t>
        </is>
      </c>
      <c r="D12" s="379" t="inlineStr">
        <is>
          <t>Bracing</t>
        </is>
      </c>
      <c r="E12" s="380" t="inlineStr">
        <is>
          <t>Unit 2</t>
        </is>
      </c>
      <c r="F12" s="381" t="inlineStr">
        <is>
          <t>101.1308333333</t>
        </is>
      </c>
      <c r="G12" s="382" t="n">
        <v>12</v>
      </c>
      <c r="H12" s="383" t="inlineStr">
        <is>
          <t>1.2135700000</t>
        </is>
      </c>
      <c r="I12" s="384" t="inlineStr">
        <is>
          <t>tonne</t>
        </is>
      </c>
      <c r="J12" s="385" t="inlineStr">
        <is>
          <t>3475.0</t>
        </is>
      </c>
      <c r="K12" s="385" t="inlineStr">
        <is>
          <t>4217.1557500</t>
        </is>
      </c>
      <c r="BE12" s="375" t="n"/>
    </row>
    <row r="13" ht="33" customFormat="1" customHeight="1" s="367">
      <c r="A13" s="368" t="n">
        <v>9</v>
      </c>
      <c r="B13" s="379" t="inlineStr">
        <is>
          <t>CHS139.7*5.0</t>
        </is>
      </c>
      <c r="C13" s="379" t="inlineStr">
        <is>
          <t>Steel</t>
        </is>
      </c>
      <c r="D13" s="379" t="inlineStr">
        <is>
          <t>Bracing</t>
        </is>
      </c>
      <c r="E13" s="380" t="inlineStr">
        <is>
          <t>Unit 2</t>
        </is>
      </c>
      <c r="F13" s="381" t="inlineStr">
        <is>
          <t>110.1550000000</t>
        </is>
      </c>
      <c r="G13" s="382" t="n">
        <v>2</v>
      </c>
      <c r="H13" s="383" t="inlineStr">
        <is>
          <t>0.2203100000</t>
        </is>
      </c>
      <c r="I13" s="384" t="inlineStr">
        <is>
          <t>tonne</t>
        </is>
      </c>
      <c r="J13" s="385" t="inlineStr">
        <is>
          <t>3375.0</t>
        </is>
      </c>
      <c r="K13" s="385" t="inlineStr">
        <is>
          <t>743.5462500</t>
        </is>
      </c>
      <c r="BE13" s="375" t="n"/>
    </row>
    <row r="14" ht="33" customFormat="1" customHeight="1" s="367">
      <c r="A14" s="368" t="n">
        <v>10</v>
      </c>
      <c r="B14" s="379" t="inlineStr">
        <is>
          <t>CHS168.3*5.0</t>
        </is>
      </c>
      <c r="C14" s="379" t="inlineStr">
        <is>
          <t>Steel</t>
        </is>
      </c>
      <c r="D14" s="379" t="inlineStr">
        <is>
          <t>Bracing</t>
        </is>
      </c>
      <c r="E14" s="380" t="inlineStr">
        <is>
          <t>Unit 2</t>
        </is>
      </c>
      <c r="F14" s="381" t="inlineStr">
        <is>
          <t>159.8775000000</t>
        </is>
      </c>
      <c r="G14" s="382" t="n">
        <v>4</v>
      </c>
      <c r="H14" s="383" t="inlineStr">
        <is>
          <t>0.6395100000</t>
        </is>
      </c>
      <c r="I14" s="384" t="inlineStr">
        <is>
          <t>tonne</t>
        </is>
      </c>
      <c r="J14" s="385" t="inlineStr">
        <is>
          <t>2950.0</t>
        </is>
      </c>
      <c r="K14" s="385" t="inlineStr">
        <is>
          <t>1886.5545000</t>
        </is>
      </c>
      <c r="BE14" s="375" t="n"/>
    </row>
    <row r="15" ht="33" customFormat="1" customHeight="1" s="367">
      <c r="A15" s="368" t="n">
        <v>11</v>
      </c>
      <c r="B15" s="379" t="inlineStr">
        <is>
          <t>PFC-200*90*30</t>
        </is>
      </c>
      <c r="C15" s="379" t="inlineStr">
        <is>
          <t>Steel</t>
        </is>
      </c>
      <c r="D15" s="379" t="inlineStr">
        <is>
          <t>Column</t>
        </is>
      </c>
      <c r="E15" s="380" t="inlineStr">
        <is>
          <t>Unit 2</t>
        </is>
      </c>
      <c r="F15" s="381" t="inlineStr">
        <is>
          <t>230.9242857143</t>
        </is>
      </c>
      <c r="G15" s="382" t="n">
        <v>14</v>
      </c>
      <c r="H15" s="383" t="inlineStr">
        <is>
          <t>3.2329400000</t>
        </is>
      </c>
      <c r="I15" s="384" t="inlineStr">
        <is>
          <t>tonne</t>
        </is>
      </c>
      <c r="J15" s="385" t="inlineStr">
        <is>
          <t>1875.0</t>
        </is>
      </c>
      <c r="K15" s="385" t="inlineStr">
        <is>
          <t>6061.7625000</t>
        </is>
      </c>
      <c r="BE15" s="375" t="n"/>
    </row>
    <row r="16" ht="33" customFormat="1" customHeight="1" s="367">
      <c r="A16" s="368" t="n">
        <v>12</v>
      </c>
      <c r="B16" s="379" t="inlineStr">
        <is>
          <t>UB203*133*25</t>
        </is>
      </c>
      <c r="C16" s="379" t="inlineStr">
        <is>
          <t>Steel</t>
        </is>
      </c>
      <c r="D16" s="379" t="inlineStr">
        <is>
          <t>Column</t>
        </is>
      </c>
      <c r="E16" s="380" t="inlineStr">
        <is>
          <t>Unit 2</t>
        </is>
      </c>
      <c r="F16" s="381" t="inlineStr">
        <is>
          <t>44.5250000000</t>
        </is>
      </c>
      <c r="G16" s="382" t="n">
        <v>18</v>
      </c>
      <c r="H16" s="383" t="inlineStr">
        <is>
          <t>0.8014500000</t>
        </is>
      </c>
      <c r="I16" s="384" t="inlineStr">
        <is>
          <t>tonne</t>
        </is>
      </c>
      <c r="J16" s="385" t="inlineStr">
        <is>
          <t>4600.0</t>
        </is>
      </c>
      <c r="K16" s="385" t="inlineStr">
        <is>
          <t>3686.6700000</t>
        </is>
      </c>
      <c r="BE16" s="375" t="n"/>
    </row>
    <row r="17" ht="33" customFormat="1" customHeight="1" s="367">
      <c r="A17" s="368" t="n">
        <v>13</v>
      </c>
      <c r="B17" s="379" t="inlineStr">
        <is>
          <t>UB356*171*45</t>
        </is>
      </c>
      <c r="C17" s="379" t="inlineStr">
        <is>
          <t>Steel</t>
        </is>
      </c>
      <c r="D17" s="379" t="inlineStr">
        <is>
          <t>Column</t>
        </is>
      </c>
      <c r="E17" s="380" t="inlineStr">
        <is>
          <t>Unit 2</t>
        </is>
      </c>
      <c r="F17" s="381" t="inlineStr">
        <is>
          <t>398.7225000000</t>
        </is>
      </c>
      <c r="G17" s="382" t="n">
        <v>8</v>
      </c>
      <c r="H17" s="383" t="inlineStr">
        <is>
          <t>3.1897800000</t>
        </is>
      </c>
      <c r="I17" s="384" t="inlineStr">
        <is>
          <t>tonne</t>
        </is>
      </c>
      <c r="J17" s="385" t="inlineStr">
        <is>
          <t>1700.0</t>
        </is>
      </c>
      <c r="K17" s="385" t="inlineStr">
        <is>
          <t>5422.6260000</t>
        </is>
      </c>
      <c r="BE17" s="375" t="n"/>
    </row>
    <row r="18" ht="33" customFormat="1" customHeight="1" s="367">
      <c r="A18" s="368" t="n">
        <v>14</v>
      </c>
      <c r="B18" s="379" t="inlineStr">
        <is>
          <t>UB457*152*67</t>
        </is>
      </c>
      <c r="C18" s="379" t="inlineStr">
        <is>
          <t>Steel</t>
        </is>
      </c>
      <c r="D18" s="379" t="inlineStr">
        <is>
          <t>Column</t>
        </is>
      </c>
      <c r="E18" s="380" t="inlineStr">
        <is>
          <t>Unit 2</t>
        </is>
      </c>
      <c r="F18" s="381" t="inlineStr">
        <is>
          <t>605.1316666667</t>
        </is>
      </c>
      <c r="G18" s="382" t="n">
        <v>6</v>
      </c>
      <c r="H18" s="383" t="inlineStr">
        <is>
          <t>3.6307900000</t>
        </is>
      </c>
      <c r="I18" s="384" t="inlineStr">
        <is>
          <t>tonne</t>
        </is>
      </c>
      <c r="J18" s="385" t="inlineStr">
        <is>
          <t>1600.0</t>
        </is>
      </c>
      <c r="K18" s="385" t="inlineStr">
        <is>
          <t>5809.2640000</t>
        </is>
      </c>
      <c r="BE18" s="375" t="n"/>
    </row>
    <row r="19" ht="33" customFormat="1" customHeight="1" s="367">
      <c r="A19" s="368" t="n">
        <v>15</v>
      </c>
      <c r="B19" s="379" t="inlineStr">
        <is>
          <t>UB356*127*33</t>
        </is>
      </c>
      <c r="C19" s="379" t="inlineStr">
        <is>
          <t>Steel</t>
        </is>
      </c>
      <c r="D19" s="379" t="inlineStr">
        <is>
          <t>Purlin</t>
        </is>
      </c>
      <c r="E19" s="380" t="inlineStr">
        <is>
          <t>Unit 2</t>
        </is>
      </c>
      <c r="F19" s="381" t="inlineStr">
        <is>
          <t>138.4575000000</t>
        </is>
      </c>
      <c r="G19" s="382" t="n">
        <v>4</v>
      </c>
      <c r="H19" s="383" t="inlineStr">
        <is>
          <t>0.5538300000</t>
        </is>
      </c>
      <c r="I19" s="384" t="inlineStr">
        <is>
          <t>tonne</t>
        </is>
      </c>
      <c r="J19" s="385" t="inlineStr">
        <is>
          <t>3075.0</t>
        </is>
      </c>
      <c r="K19" s="385" t="inlineStr">
        <is>
          <t>1703.0272500</t>
        </is>
      </c>
      <c r="BE19" s="375" t="n"/>
    </row>
    <row r="20" ht="33" customFormat="1" customHeight="1" s="367">
      <c r="A20" s="368" t="n">
        <v>16</v>
      </c>
      <c r="B20" s="379" t="inlineStr">
        <is>
          <t>CHS139.7*5.0</t>
        </is>
      </c>
      <c r="C20" s="379" t="inlineStr">
        <is>
          <t>Steel</t>
        </is>
      </c>
      <c r="D20" s="379" t="inlineStr">
        <is>
          <t>Beam</t>
        </is>
      </c>
      <c r="E20" s="380" t="inlineStr">
        <is>
          <t>Unit 3</t>
        </is>
      </c>
      <c r="F20" s="381" t="inlineStr">
        <is>
          <t>109.0716666667</t>
        </is>
      </c>
      <c r="G20" s="382" t="n">
        <v>6</v>
      </c>
      <c r="H20" s="383" t="inlineStr">
        <is>
          <t>0.6544300000</t>
        </is>
      </c>
      <c r="I20" s="384" t="inlineStr">
        <is>
          <t>tonne</t>
        </is>
      </c>
      <c r="J20" s="385" t="inlineStr">
        <is>
          <t>3400.0</t>
        </is>
      </c>
      <c r="K20" s="385" t="inlineStr">
        <is>
          <t>2225.0620000</t>
        </is>
      </c>
      <c r="BE20" s="375" t="n"/>
    </row>
    <row r="21" ht="33" customFormat="1" customHeight="1" s="367">
      <c r="A21" s="368" t="n">
        <v>17</v>
      </c>
      <c r="B21" s="379" t="inlineStr">
        <is>
          <t>PFC-200*75*23</t>
        </is>
      </c>
      <c r="C21" s="379" t="inlineStr">
        <is>
          <t>Steel</t>
        </is>
      </c>
      <c r="D21" s="379" t="inlineStr">
        <is>
          <t>Beam</t>
        </is>
      </c>
      <c r="E21" s="380" t="inlineStr">
        <is>
          <t>Unit 3</t>
        </is>
      </c>
      <c r="F21" s="381" t="inlineStr">
        <is>
          <t>156.3440909091</t>
        </is>
      </c>
      <c r="G21" s="382" t="n">
        <v>22</v>
      </c>
      <c r="H21" s="383" t="inlineStr">
        <is>
          <t>3.4395700000</t>
        </is>
      </c>
      <c r="I21" s="384" t="inlineStr">
        <is>
          <t>tonne</t>
        </is>
      </c>
      <c r="J21" s="385" t="inlineStr">
        <is>
          <t>2225.0</t>
        </is>
      </c>
      <c r="K21" s="385" t="inlineStr">
        <is>
          <t>7653.0432500</t>
        </is>
      </c>
      <c r="BE21" s="375" t="n"/>
    </row>
    <row r="22" ht="33" customFormat="1" customHeight="1" s="367">
      <c r="A22" s="368" t="n">
        <v>18</v>
      </c>
      <c r="B22" s="379" t="inlineStr">
        <is>
          <t>PFC-200*90*30</t>
        </is>
      </c>
      <c r="C22" s="379" t="inlineStr">
        <is>
          <t>Steel</t>
        </is>
      </c>
      <c r="D22" s="379" t="inlineStr">
        <is>
          <t>Beam</t>
        </is>
      </c>
      <c r="E22" s="380" t="inlineStr">
        <is>
          <t>Unit 3</t>
        </is>
      </c>
      <c r="F22" s="381" t="inlineStr">
        <is>
          <t>197.6340909091</t>
        </is>
      </c>
      <c r="G22" s="382" t="n">
        <v>22</v>
      </c>
      <c r="H22" s="383" t="inlineStr">
        <is>
          <t>4.3479500000</t>
        </is>
      </c>
      <c r="I22" s="384" t="inlineStr">
        <is>
          <t>tonne</t>
        </is>
      </c>
      <c r="J22" s="385" t="inlineStr">
        <is>
          <t>2025.0</t>
        </is>
      </c>
      <c r="K22" s="385" t="inlineStr">
        <is>
          <t>8804.5987500</t>
        </is>
      </c>
      <c r="M22" s="388" t="n"/>
      <c r="N22" s="389" t="n"/>
      <c r="O22" s="358" t="n"/>
      <c r="BE22" s="375" t="n"/>
    </row>
    <row r="23" ht="33" customFormat="1" customHeight="1" s="367">
      <c r="A23" s="368" t="n">
        <v>19</v>
      </c>
      <c r="B23" s="379" t="inlineStr">
        <is>
          <t>SHS160*160*5.0</t>
        </is>
      </c>
      <c r="C23" s="379" t="inlineStr">
        <is>
          <t>Steel</t>
        </is>
      </c>
      <c r="D23" s="379" t="inlineStr">
        <is>
          <t>Beam</t>
        </is>
      </c>
      <c r="E23" s="380" t="inlineStr">
        <is>
          <t>Unit 3</t>
        </is>
      </c>
      <c r="F23" s="381" t="inlineStr">
        <is>
          <t>194.6800000000</t>
        </is>
      </c>
      <c r="G23" s="382" t="n">
        <v>8</v>
      </c>
      <c r="H23" s="383" t="inlineStr">
        <is>
          <t>1.5574400000</t>
        </is>
      </c>
      <c r="I23" s="384" t="inlineStr">
        <is>
          <t>tonne</t>
        </is>
      </c>
      <c r="J23" s="385" t="inlineStr">
        <is>
          <t>2775.0</t>
        </is>
      </c>
      <c r="K23" s="385" t="inlineStr">
        <is>
          <t>4321.8960000</t>
        </is>
      </c>
      <c r="O23" s="358" t="n"/>
      <c r="BE23" s="375" t="n"/>
    </row>
    <row r="24" ht="33" customFormat="1" customHeight="1" s="367">
      <c r="A24" s="368" t="n">
        <v>20</v>
      </c>
      <c r="B24" s="379" t="inlineStr">
        <is>
          <t>SHS200*200*8.0</t>
        </is>
      </c>
      <c r="C24" s="379" t="inlineStr">
        <is>
          <t>Steel</t>
        </is>
      </c>
      <c r="D24" s="379" t="inlineStr">
        <is>
          <t>Beam</t>
        </is>
      </c>
      <c r="E24" s="380" t="inlineStr">
        <is>
          <t>Unit 3</t>
        </is>
      </c>
      <c r="F24" s="381" t="inlineStr">
        <is>
          <t>346.8850000000</t>
        </is>
      </c>
      <c r="G24" s="382" t="n">
        <v>2</v>
      </c>
      <c r="H24" s="383" t="inlineStr">
        <is>
          <t>0.6937700000</t>
        </is>
      </c>
      <c r="I24" s="384" t="inlineStr">
        <is>
          <t>tonne</t>
        </is>
      </c>
      <c r="J24" s="385" t="inlineStr">
        <is>
          <t>2325.0</t>
        </is>
      </c>
      <c r="K24" s="385" t="inlineStr">
        <is>
          <t>1613.0152500</t>
        </is>
      </c>
      <c r="O24" s="358" t="n"/>
      <c r="BE24" s="375" t="n"/>
    </row>
    <row r="25" ht="33" customFormat="1" customHeight="1" s="367">
      <c r="A25" s="368" t="n">
        <v>21</v>
      </c>
      <c r="B25" s="379" t="inlineStr">
        <is>
          <t>UB203*133*25</t>
        </is>
      </c>
      <c r="C25" s="379" t="inlineStr">
        <is>
          <t>Steel</t>
        </is>
      </c>
      <c r="D25" s="379" t="inlineStr">
        <is>
          <t>Beam</t>
        </is>
      </c>
      <c r="E25" s="380" t="inlineStr">
        <is>
          <t>Unit 3</t>
        </is>
      </c>
      <c r="F25" s="381" t="inlineStr">
        <is>
          <t>144.9770000000</t>
        </is>
      </c>
      <c r="G25" s="382" t="n">
        <v>10</v>
      </c>
      <c r="H25" s="383" t="inlineStr">
        <is>
          <t>1.4497700000</t>
        </is>
      </c>
      <c r="I25" s="384" t="inlineStr">
        <is>
          <t>tonne</t>
        </is>
      </c>
      <c r="J25" s="385" t="inlineStr">
        <is>
          <t>2575.0</t>
        </is>
      </c>
      <c r="K25" s="385" t="inlineStr">
        <is>
          <t>3733.1577500</t>
        </is>
      </c>
      <c r="O25" s="358" t="n"/>
      <c r="BE25" s="375" t="n"/>
    </row>
    <row r="26" ht="33" customFormat="1" customHeight="1" s="367">
      <c r="A26" s="368" t="n">
        <v>22</v>
      </c>
      <c r="B26" s="379" t="inlineStr">
        <is>
          <t>UB305*165*46</t>
        </is>
      </c>
      <c r="C26" s="379" t="inlineStr">
        <is>
          <t>Steel</t>
        </is>
      </c>
      <c r="D26" s="379" t="inlineStr">
        <is>
          <t>Beam</t>
        </is>
      </c>
      <c r="E26" s="380" t="inlineStr">
        <is>
          <t>Unit 3</t>
        </is>
      </c>
      <c r="F26" s="381" t="inlineStr">
        <is>
          <t>345.9640000000</t>
        </is>
      </c>
      <c r="G26" s="382" t="n">
        <v>20</v>
      </c>
      <c r="H26" s="383" t="inlineStr">
        <is>
          <t>6.9192800000</t>
        </is>
      </c>
      <c r="I26" s="384" t="inlineStr">
        <is>
          <t>tonne</t>
        </is>
      </c>
      <c r="J26" s="385" t="inlineStr">
        <is>
          <t>1800.0</t>
        </is>
      </c>
      <c r="K26" s="385" t="inlineStr">
        <is>
          <t>12454.7040000</t>
        </is>
      </c>
      <c r="O26" s="358" t="n"/>
      <c r="BE26" s="375" t="n"/>
    </row>
    <row r="27" ht="33" customFormat="1" customHeight="1" s="367">
      <c r="A27" s="368" t="n">
        <v>23</v>
      </c>
      <c r="B27" s="379" t="inlineStr">
        <is>
          <t>UB533*210*82</t>
        </is>
      </c>
      <c r="C27" s="379" t="inlineStr">
        <is>
          <t>Steel</t>
        </is>
      </c>
      <c r="D27" s="379" t="inlineStr">
        <is>
          <t>Beam</t>
        </is>
      </c>
      <c r="E27" s="380" t="inlineStr">
        <is>
          <t>Unit 3</t>
        </is>
      </c>
      <c r="F27" s="381" t="inlineStr">
        <is>
          <t>1372.1863636364</t>
        </is>
      </c>
      <c r="G27" s="382" t="n">
        <v>11</v>
      </c>
      <c r="H27" s="383" t="inlineStr">
        <is>
          <t>15.0940500000</t>
        </is>
      </c>
      <c r="I27" s="384" t="inlineStr">
        <is>
          <t>tonne</t>
        </is>
      </c>
      <c r="J27" s="385" t="inlineStr">
        <is>
          <t>1250.0</t>
        </is>
      </c>
      <c r="K27" s="385" t="inlineStr">
        <is>
          <t>18867.5625000</t>
        </is>
      </c>
      <c r="O27" s="358" t="n"/>
      <c r="BE27" s="375" t="n"/>
    </row>
    <row r="28" ht="33" customFormat="1" customHeight="1" s="367">
      <c r="A28" s="368" t="n">
        <v>24</v>
      </c>
      <c r="B28" s="379" t="inlineStr">
        <is>
          <t>CHS114.3*5.0</t>
        </is>
      </c>
      <c r="C28" s="379" t="inlineStr">
        <is>
          <t>Steel</t>
        </is>
      </c>
      <c r="D28" s="379" t="inlineStr">
        <is>
          <t>Bracing</t>
        </is>
      </c>
      <c r="E28" s="380" t="inlineStr">
        <is>
          <t>Unit 3</t>
        </is>
      </c>
      <c r="F28" s="381" t="inlineStr">
        <is>
          <t>102.8753571429</t>
        </is>
      </c>
      <c r="G28" s="382" t="n">
        <v>28</v>
      </c>
      <c r="H28" s="383" t="inlineStr">
        <is>
          <t>2.8805100000</t>
        </is>
      </c>
      <c r="I28" s="384" t="inlineStr">
        <is>
          <t>tonne</t>
        </is>
      </c>
      <c r="J28" s="385" t="inlineStr">
        <is>
          <t>3450.0</t>
        </is>
      </c>
      <c r="K28" s="385" t="inlineStr">
        <is>
          <t>9937.7595000</t>
        </is>
      </c>
      <c r="O28" s="358" t="n"/>
      <c r="BE28" s="375" t="n"/>
    </row>
    <row r="29" ht="33" customFormat="1" customHeight="1" s="367">
      <c r="A29" s="368" t="n">
        <v>25</v>
      </c>
      <c r="B29" s="379" t="inlineStr">
        <is>
          <t>CHS139.7*5.0</t>
        </is>
      </c>
      <c r="C29" s="379" t="inlineStr">
        <is>
          <t>Steel</t>
        </is>
      </c>
      <c r="D29" s="379" t="inlineStr">
        <is>
          <t>Bracing</t>
        </is>
      </c>
      <c r="E29" s="380" t="inlineStr">
        <is>
          <t>Unit 3</t>
        </is>
      </c>
      <c r="F29" s="381" t="inlineStr">
        <is>
          <t>109.7950000000</t>
        </is>
      </c>
      <c r="G29" s="382" t="n">
        <v>2</v>
      </c>
      <c r="H29" s="383" t="inlineStr">
        <is>
          <t>0.2195900000</t>
        </is>
      </c>
      <c r="I29" s="384" t="inlineStr">
        <is>
          <t>tonne</t>
        </is>
      </c>
      <c r="J29" s="385" t="inlineStr">
        <is>
          <t>3375.0</t>
        </is>
      </c>
      <c r="K29" s="385" t="inlineStr">
        <is>
          <t>741.1162500</t>
        </is>
      </c>
      <c r="O29" s="358" t="n"/>
      <c r="BE29" s="375" t="n"/>
    </row>
    <row r="30" ht="33" customFormat="1" customHeight="1" s="367">
      <c r="A30" s="368" t="n">
        <v>26</v>
      </c>
      <c r="B30" s="379" t="inlineStr">
        <is>
          <t>CHS168.3*5.0</t>
        </is>
      </c>
      <c r="C30" s="379" t="inlineStr">
        <is>
          <t>Steel</t>
        </is>
      </c>
      <c r="D30" s="379" t="inlineStr">
        <is>
          <t>Bracing</t>
        </is>
      </c>
      <c r="E30" s="380" t="inlineStr">
        <is>
          <t>Unit 3</t>
        </is>
      </c>
      <c r="F30" s="381" t="inlineStr">
        <is>
          <t>179.2150000000</t>
        </is>
      </c>
      <c r="G30" s="382" t="n">
        <v>4</v>
      </c>
      <c r="H30" s="383" t="inlineStr">
        <is>
          <t>0.7168600000</t>
        </is>
      </c>
      <c r="I30" s="384" t="inlineStr">
        <is>
          <t>tonne</t>
        </is>
      </c>
      <c r="J30" s="385" t="inlineStr">
        <is>
          <t>2800.0</t>
        </is>
      </c>
      <c r="K30" s="385" t="inlineStr">
        <is>
          <t>2007.2080000</t>
        </is>
      </c>
      <c r="O30" s="358" t="n"/>
      <c r="BE30" s="375" t="n"/>
    </row>
    <row r="31" ht="33" customFormat="1" customHeight="1" s="367">
      <c r="A31" s="368" t="n">
        <v>27</v>
      </c>
      <c r="B31" s="379" t="inlineStr">
        <is>
          <t>SHS300*300*16.0</t>
        </is>
      </c>
      <c r="C31" s="379" t="inlineStr">
        <is>
          <t>Steel</t>
        </is>
      </c>
      <c r="D31" s="379" t="inlineStr">
        <is>
          <t>Column</t>
        </is>
      </c>
      <c r="E31" s="380" t="inlineStr">
        <is>
          <t>Unit 3</t>
        </is>
      </c>
      <c r="F31" s="381" t="inlineStr">
        <is>
          <t>906.4400000000</t>
        </is>
      </c>
      <c r="G31" s="382" t="n">
        <v>1</v>
      </c>
      <c r="H31" s="383" t="inlineStr">
        <is>
          <t>0.9064400000</t>
        </is>
      </c>
      <c r="I31" s="384" t="inlineStr">
        <is>
          <t>tonne</t>
        </is>
      </c>
      <c r="J31" s="385" t="inlineStr">
        <is>
          <t>2150.0</t>
        </is>
      </c>
      <c r="K31" s="385" t="inlineStr">
        <is>
          <t>1948.8460000</t>
        </is>
      </c>
      <c r="O31" s="358" t="n"/>
      <c r="BE31" s="375" t="n"/>
    </row>
    <row r="32" ht="33" customFormat="1" customHeight="1" s="367">
      <c r="A32" s="368" t="n">
        <v>28</v>
      </c>
      <c r="B32" s="379" t="inlineStr">
        <is>
          <t>UB203*133*25</t>
        </is>
      </c>
      <c r="C32" s="379" t="inlineStr">
        <is>
          <t>Steel</t>
        </is>
      </c>
      <c r="D32" s="379" t="inlineStr">
        <is>
          <t>Column</t>
        </is>
      </c>
      <c r="E32" s="380" t="inlineStr">
        <is>
          <t>Unit 3</t>
        </is>
      </c>
      <c r="F32" s="381" t="inlineStr">
        <is>
          <t>49.4118181818</t>
        </is>
      </c>
      <c r="G32" s="382" t="n">
        <v>22</v>
      </c>
      <c r="H32" s="383" t="inlineStr">
        <is>
          <t>1.0870600000</t>
        </is>
      </c>
      <c r="I32" s="384" t="inlineStr">
        <is>
          <t>tonne</t>
        </is>
      </c>
      <c r="J32" s="385" t="inlineStr">
        <is>
          <t>4900.0</t>
        </is>
      </c>
      <c r="K32" s="385" t="inlineStr">
        <is>
          <t>5326.5940000</t>
        </is>
      </c>
      <c r="O32" s="358" t="n"/>
      <c r="BE32" s="375" t="n"/>
    </row>
    <row r="33" ht="33" customFormat="1" customHeight="1" s="367">
      <c r="A33" s="368" t="n">
        <v>29</v>
      </c>
      <c r="B33" s="379" t="inlineStr">
        <is>
          <t>UB356*171*45</t>
        </is>
      </c>
      <c r="C33" s="379" t="inlineStr">
        <is>
          <t>Steel</t>
        </is>
      </c>
      <c r="D33" s="379" t="inlineStr">
        <is>
          <t>Column</t>
        </is>
      </c>
      <c r="E33" s="380" t="inlineStr">
        <is>
          <t>Unit 3</t>
        </is>
      </c>
      <c r="F33" s="381" t="inlineStr">
        <is>
          <t>440.9781818182</t>
        </is>
      </c>
      <c r="G33" s="382" t="n">
        <v>11</v>
      </c>
      <c r="H33" s="383" t="inlineStr">
        <is>
          <t>4.8507600000</t>
        </is>
      </c>
      <c r="I33" s="384" t="inlineStr">
        <is>
          <t>tonne</t>
        </is>
      </c>
      <c r="J33" s="385" t="inlineStr">
        <is>
          <t>1625.0</t>
        </is>
      </c>
      <c r="K33" s="385" t="inlineStr">
        <is>
          <t>7882.4850000</t>
        </is>
      </c>
      <c r="O33" s="358" t="n"/>
      <c r="BE33" s="375" t="n"/>
    </row>
    <row r="34" ht="33" customFormat="1" customHeight="1" s="367">
      <c r="A34" s="368" t="n">
        <v>30</v>
      </c>
      <c r="B34" s="379" t="inlineStr">
        <is>
          <t>UB686*254*125</t>
        </is>
      </c>
      <c r="C34" s="379" t="inlineStr">
        <is>
          <t>Cold Rolled</t>
        </is>
      </c>
      <c r="D34" s="379" t="inlineStr">
        <is>
          <t>Column</t>
        </is>
      </c>
      <c r="E34" s="380" t="inlineStr">
        <is>
          <t>Unit 2</t>
        </is>
      </c>
      <c r="F34" s="381" t="inlineStr">
        <is>
          <t>1192.8340000000</t>
        </is>
      </c>
      <c r="G34" s="382" t="n">
        <v>10</v>
      </c>
      <c r="H34" s="383" t="inlineStr">
        <is>
          <t>11.9283400000</t>
        </is>
      </c>
      <c r="I34" s="384" t="inlineStr">
        <is>
          <t>tonne</t>
        </is>
      </c>
      <c r="J34" s="385" t="inlineStr">
        <is>
          <t>1575.0</t>
        </is>
      </c>
      <c r="K34" s="385" t="inlineStr">
        <is>
          <t>18787.1355000</t>
        </is>
      </c>
      <c r="O34" s="358" t="n"/>
      <c r="BE34" s="375" t="n"/>
    </row>
    <row r="35" ht="33" customFormat="1" customHeight="1" s="367">
      <c r="A35" s="368" t="n">
        <v>31</v>
      </c>
      <c r="B35" s="379" t="inlineStr">
        <is>
          <t>PFC-200*75*23</t>
        </is>
      </c>
      <c r="C35" s="379" t="inlineStr">
        <is>
          <t>Cold Rolled</t>
        </is>
      </c>
      <c r="D35" s="379" t="inlineStr">
        <is>
          <t>Door Frame</t>
        </is>
      </c>
      <c r="E35" s="380" t="inlineStr">
        <is>
          <t>Unit 3</t>
        </is>
      </c>
      <c r="F35" s="381" t="inlineStr">
        <is>
          <t>53.3175000000</t>
        </is>
      </c>
      <c r="G35" s="382" t="n">
        <v>4</v>
      </c>
      <c r="H35" s="383" t="inlineStr">
        <is>
          <t>0.2132700000</t>
        </is>
      </c>
      <c r="I35" s="384" t="inlineStr">
        <is>
          <t>tonne</t>
        </is>
      </c>
      <c r="J35" s="385" t="inlineStr">
        <is>
          <t>3350.0</t>
        </is>
      </c>
      <c r="K35" s="385" t="inlineStr">
        <is>
          <t>714.4545000</t>
        </is>
      </c>
      <c r="O35" s="358" t="n"/>
      <c r="BE35" s="375" t="n"/>
    </row>
    <row r="36" ht="33" customFormat="1" customHeight="1" s="367">
      <c r="A36" s="368" t="n">
        <v>32</v>
      </c>
      <c r="B36" s="379" t="n"/>
      <c r="C36" s="379" t="n"/>
      <c r="D36" s="379" t="n"/>
      <c r="E36" s="380" t="n"/>
      <c r="F36" s="381" t="n"/>
      <c r="G36" s="382" t="n"/>
      <c r="H36" s="383" t="n"/>
      <c r="I36" s="384" t="n"/>
      <c r="J36" s="385" t="n"/>
      <c r="K36" s="385" t="n"/>
      <c r="O36" s="358" t="n"/>
      <c r="BE36" s="375" t="n"/>
    </row>
    <row r="37" ht="33" customFormat="1" customHeight="1" s="367">
      <c r="A37" s="368" t="n">
        <v>33</v>
      </c>
      <c r="B37" s="379" t="n"/>
      <c r="C37" s="379" t="n"/>
      <c r="D37" s="379" t="n"/>
      <c r="E37" s="380" t="n"/>
      <c r="F37" s="381" t="n"/>
      <c r="G37" s="382" t="n"/>
      <c r="H37" s="383" t="n"/>
      <c r="I37" s="384" t="n"/>
      <c r="J37" s="385" t="n"/>
      <c r="K37" s="385" t="n"/>
      <c r="O37" s="358" t="n"/>
      <c r="BE37" s="375" t="n"/>
    </row>
    <row r="38" ht="33" customFormat="1" customHeight="1" s="367">
      <c r="A38" s="368" t="n">
        <v>34</v>
      </c>
      <c r="B38" s="379" t="n"/>
      <c r="C38" s="379" t="n"/>
      <c r="D38" s="379" t="n"/>
      <c r="E38" s="380" t="n"/>
      <c r="F38" s="381" t="n"/>
      <c r="G38" s="382" t="n"/>
      <c r="H38" s="383" t="n"/>
      <c r="I38" s="384" t="n"/>
      <c r="J38" s="385" t="n"/>
      <c r="K38" s="385" t="n"/>
      <c r="O38" s="358" t="n"/>
      <c r="BE38" s="375" t="n"/>
    </row>
    <row r="39" ht="33" customFormat="1" customHeight="1" s="367">
      <c r="A39" s="368" t="n"/>
      <c r="B39" s="379" t="n"/>
      <c r="C39" s="379" t="n"/>
      <c r="D39" s="379" t="n"/>
      <c r="E39" s="380" t="n"/>
      <c r="F39" s="381" t="n"/>
      <c r="G39" s="382" t="n"/>
      <c r="H39" s="383" t="n"/>
      <c r="I39" s="384" t="n"/>
      <c r="J39" s="385" t="n"/>
      <c r="K39" s="385" t="n"/>
      <c r="O39" s="358" t="n"/>
      <c r="BE39" s="375" t="n"/>
    </row>
    <row r="40" ht="33" customFormat="1" customHeight="1" s="367">
      <c r="A40" s="368" t="n">
        <v>35</v>
      </c>
      <c r="B40" s="379" t="n"/>
      <c r="C40" s="379" t="n"/>
      <c r="D40" s="379" t="n"/>
      <c r="E40" s="380" t="n"/>
      <c r="F40" s="381" t="n"/>
      <c r="G40" s="382" t="n"/>
      <c r="H40" s="383" t="n"/>
      <c r="I40" s="384" t="n"/>
      <c r="J40" s="385" t="n"/>
      <c r="K40" s="385" t="n"/>
      <c r="O40" s="358" t="n"/>
      <c r="BE40" s="375" t="n"/>
    </row>
    <row r="41" ht="33" customFormat="1" customHeight="1" s="367">
      <c r="A41" s="368" t="n">
        <v>36</v>
      </c>
      <c r="B41" s="379" t="n"/>
      <c r="C41" s="379" t="n"/>
      <c r="D41" s="379" t="n"/>
      <c r="E41" s="380" t="n"/>
      <c r="F41" s="381" t="n"/>
      <c r="G41" s="382" t="n"/>
      <c r="H41" s="383" t="n"/>
      <c r="I41" s="384" t="n"/>
      <c r="J41" s="385" t="n"/>
      <c r="K41" s="385" t="n"/>
      <c r="O41" s="358" t="n"/>
      <c r="BE41" s="375" t="n"/>
    </row>
    <row r="42" ht="33" customFormat="1" customHeight="1" s="367">
      <c r="A42" s="368" t="n">
        <v>37</v>
      </c>
      <c r="B42" s="379" t="n"/>
      <c r="C42" s="379" t="n"/>
      <c r="D42" s="379" t="n"/>
      <c r="E42" s="380" t="n"/>
      <c r="F42" s="381" t="n"/>
      <c r="G42" s="382" t="n"/>
      <c r="H42" s="383" t="n"/>
      <c r="I42" s="384" t="n"/>
      <c r="J42" s="385" t="n"/>
      <c r="K42" s="385" t="n"/>
      <c r="O42" s="358" t="n"/>
      <c r="BE42" s="375" t="n"/>
    </row>
    <row r="43" ht="33" customFormat="1" customHeight="1" s="367">
      <c r="A43" s="368" t="n">
        <v>38</v>
      </c>
      <c r="B43" s="379" t="n"/>
      <c r="C43" s="379" t="n"/>
      <c r="D43" s="379" t="n"/>
      <c r="E43" s="380" t="n"/>
      <c r="F43" s="381" t="n"/>
      <c r="G43" s="382" t="n"/>
      <c r="H43" s="383" t="n"/>
      <c r="I43" s="384" t="n"/>
      <c r="J43" s="385" t="n"/>
      <c r="K43" s="385" t="n"/>
      <c r="O43" s="358" t="n"/>
      <c r="BE43" s="375" t="n"/>
    </row>
    <row r="44" ht="33" customFormat="1" customHeight="1" s="367">
      <c r="A44" s="368" t="n">
        <v>39</v>
      </c>
      <c r="B44" s="379" t="n"/>
      <c r="C44" s="379" t="n"/>
      <c r="D44" s="379" t="n"/>
      <c r="E44" s="380" t="n"/>
      <c r="F44" s="381" t="n"/>
      <c r="G44" s="382" t="n"/>
      <c r="H44" s="383" t="n"/>
      <c r="I44" s="384" t="n"/>
      <c r="J44" s="385" t="n"/>
      <c r="K44" s="385" t="n"/>
      <c r="O44" s="358" t="n"/>
      <c r="BE44" s="375" t="n"/>
    </row>
    <row r="45" ht="33" customFormat="1" customHeight="1" s="390">
      <c r="A45" s="391" t="n"/>
      <c r="B45" s="392" t="n"/>
      <c r="C45" s="392" t="n"/>
      <c r="D45" s="392" t="n"/>
      <c r="E45" s="393" t="n"/>
      <c r="F45" s="394" t="n"/>
      <c r="G45" s="395" t="n"/>
      <c r="H45" s="396" t="n"/>
      <c r="I45" s="397" t="n"/>
      <c r="J45" s="398" t="inlineStr">
        <is>
          <t>Total:</t>
        </is>
      </c>
      <c r="K45" s="398" t="n">
        <v>167937.39725</v>
      </c>
      <c r="O45" s="399" t="n"/>
      <c r="BE45" s="400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0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01" min="1" max="1"/>
    <col width="21.55" customWidth="1" style="402" min="2" max="2"/>
    <col width="21.55" customWidth="1" style="403" min="3" max="3"/>
    <col width="184.81" customWidth="1" style="401" min="4" max="4"/>
    <col width="36.54" customWidth="1" style="404" min="5" max="5"/>
    <col width="32" customWidth="1" style="405" min="6" max="8"/>
    <col width="28.81" customWidth="1" style="405" min="9" max="9"/>
    <col width="39" customWidth="1" style="404" min="10" max="10"/>
    <col width="69.45999999999999" customWidth="1" style="406" min="11" max="11"/>
    <col width="38.82" customWidth="1" style="407" min="12" max="12"/>
    <col width="33.73" customWidth="1" style="408" min="13" max="13"/>
    <col width="42.27" customWidth="1" style="408" min="14" max="14"/>
    <col width="36.18" customWidth="1" style="401" min="15" max="15"/>
    <col width="8.82" customWidth="1" style="401" min="16" max="33"/>
    <col width="19.83" customWidth="1" style="401" min="34" max="34"/>
    <col width="9.449999999999999" customWidth="1" style="401" min="35" max="35"/>
    <col width="8.82" customWidth="1" style="401" min="36" max="1024"/>
  </cols>
  <sheetData>
    <row r="1" ht="15.65" customHeight="1" s="245"/>
    <row r="2" ht="48.65" customHeight="1" s="245">
      <c r="I2" s="409" t="inlineStr">
        <is>
          <t>Project:</t>
        </is>
      </c>
      <c r="J2" s="410" t="n"/>
      <c r="K2" s="409">
        <f>'AFP Summary'!H8</f>
        <v/>
      </c>
      <c r="L2" s="411" t="n"/>
    </row>
    <row r="3" ht="48.65" customHeight="1" s="245">
      <c r="I3" s="412" t="inlineStr">
        <is>
          <t>Client</t>
        </is>
      </c>
      <c r="J3" s="413" t="n"/>
      <c r="K3" s="414">
        <f>'AFP Summary'!B9</f>
        <v/>
      </c>
      <c r="L3" s="415" t="n"/>
    </row>
    <row r="4" ht="48.65" customHeight="1" s="245">
      <c r="E4" s="404" t="inlineStr">
        <is>
          <t xml:space="preserve"> </t>
        </is>
      </c>
      <c r="I4" s="412" t="inlineStr">
        <is>
          <t>Variation Account Total</t>
        </is>
      </c>
      <c r="J4" s="416" t="n"/>
      <c r="K4" s="417">
        <f>SUM(Table14[Value £])</f>
        <v/>
      </c>
      <c r="L4" s="415" t="n"/>
    </row>
    <row r="5" ht="48.65" customHeight="1" s="245">
      <c r="C5" s="418" t="n"/>
      <c r="I5" s="412" t="inlineStr">
        <is>
          <t xml:space="preserve">Agreed Value </t>
        </is>
      </c>
      <c r="J5" s="416" t="n"/>
      <c r="K5" s="417">
        <f>SUMIF(Table14[Status],"Agreed",Table14[Value £])</f>
        <v/>
      </c>
      <c r="L5" s="415" t="n"/>
    </row>
    <row r="6" ht="48.65" customHeight="1" s="245">
      <c r="C6" s="419" t="inlineStr">
        <is>
          <t>Variation Register</t>
        </is>
      </c>
      <c r="I6" s="412" t="inlineStr">
        <is>
          <t>To be Agreed</t>
        </is>
      </c>
      <c r="J6" s="416" t="n"/>
      <c r="K6" s="417">
        <f>K4-K5</f>
        <v/>
      </c>
      <c r="L6" s="415" t="n"/>
    </row>
    <row r="7" ht="48.65" customHeight="1" s="245">
      <c r="C7" s="419" t="n"/>
      <c r="I7" s="412" t="inlineStr">
        <is>
          <t xml:space="preserve">Progress Total </t>
        </is>
      </c>
      <c r="J7" s="416" t="n"/>
      <c r="K7" s="417">
        <f>SUM(M14:M91)</f>
        <v/>
      </c>
      <c r="L7" s="415" t="n"/>
    </row>
    <row r="8" ht="48.65" customHeight="1" s="245">
      <c r="C8" s="420" t="inlineStr">
        <is>
          <t xml:space="preserve">Struct Steel Engineering Ltd. </t>
        </is>
      </c>
      <c r="D8" s="421" t="n"/>
      <c r="I8" s="412" t="inlineStr">
        <is>
          <t>Agreed %</t>
        </is>
      </c>
      <c r="J8" s="416" t="n"/>
      <c r="K8" s="422">
        <f>IFERROR(K5/K4,"")</f>
        <v/>
      </c>
      <c r="L8" s="415" t="n"/>
    </row>
    <row r="9" ht="48.65" customFormat="1" customHeight="1" s="423">
      <c r="B9" s="424" t="n"/>
      <c r="C9" s="425" t="inlineStr">
        <is>
          <t xml:space="preserve">38 Farnamullan Road, Faughard, Enniskillen, United </t>
        </is>
      </c>
      <c r="D9" s="421" t="n"/>
      <c r="E9" s="426" t="n"/>
      <c r="F9" s="427" t="n"/>
      <c r="G9" s="427" t="n"/>
      <c r="H9" s="427" t="n"/>
      <c r="I9" s="412" t="inlineStr">
        <is>
          <t>No. of Variations</t>
        </is>
      </c>
      <c r="J9" s="416" t="n"/>
      <c r="K9" s="428">
        <f>COUNT(Table14[[ VO]])</f>
        <v/>
      </c>
      <c r="L9" s="415" t="n"/>
      <c r="M9" s="429" t="n"/>
      <c r="N9" s="429" t="n"/>
    </row>
    <row r="10" ht="48.65" customFormat="1" customHeight="1" s="423">
      <c r="B10" s="424" t="n"/>
      <c r="C10" s="430" t="inlineStr">
        <is>
          <t>+44 28 6638 7001</t>
        </is>
      </c>
      <c r="E10" s="426" t="n"/>
      <c r="F10" s="427" t="n"/>
      <c r="G10" s="427" t="n"/>
      <c r="H10" s="427" t="n"/>
      <c r="I10" s="412" t="inlineStr">
        <is>
          <t>No. of Variations Agreed</t>
        </is>
      </c>
      <c r="J10" s="431" t="n"/>
      <c r="K10" s="428">
        <f>COUNTIF(Table14[Status],"Agreed")</f>
        <v/>
      </c>
      <c r="L10" s="415" t="n"/>
      <c r="M10" s="429" t="n"/>
      <c r="N10" s="429" t="n"/>
    </row>
    <row r="11" ht="48.65" customFormat="1" customHeight="1" s="423">
      <c r="C11" s="425" t="inlineStr">
        <is>
          <t>structsteeleng.co.uk</t>
        </is>
      </c>
      <c r="D11" s="421" t="n"/>
      <c r="E11" s="426" t="n"/>
      <c r="F11" s="427" t="n"/>
      <c r="G11" s="427" t="n"/>
      <c r="H11" s="427" t="n"/>
      <c r="I11" s="432" t="inlineStr">
        <is>
          <t>Variations to be Priced</t>
        </is>
      </c>
      <c r="J11" s="433" t="n"/>
      <c r="K11" s="434">
        <f>COUNTIF(Table14[Value £],"tbc")</f>
        <v/>
      </c>
      <c r="L11" s="415" t="n"/>
      <c r="M11" s="429" t="n"/>
      <c r="N11" s="429" t="n"/>
    </row>
    <row r="12" ht="20.15" customHeight="1" s="245"/>
    <row r="13" ht="87.75" customFormat="1" customHeight="1" s="435">
      <c r="B13" s="436" t="inlineStr">
        <is>
          <t>Client Ref</t>
        </is>
      </c>
      <c r="C13" s="436" t="inlineStr">
        <is>
          <t xml:space="preserve"> VO</t>
        </is>
      </c>
      <c r="D13" s="436" t="inlineStr">
        <is>
          <t>Description</t>
        </is>
      </c>
      <c r="E13" s="437" t="inlineStr">
        <is>
          <t xml:space="preserve">Submission </t>
        </is>
      </c>
      <c r="F13" s="438" t="inlineStr">
        <is>
          <t>Value £</t>
        </is>
      </c>
      <c r="G13" s="438" t="inlineStr">
        <is>
          <t xml:space="preserve">Dayworks  </t>
        </is>
      </c>
      <c r="H13" s="438" t="inlineStr">
        <is>
          <t>Daywork Total</t>
        </is>
      </c>
      <c r="I13" s="438" t="inlineStr">
        <is>
          <t>Status</t>
        </is>
      </c>
      <c r="J13" s="437" t="inlineStr">
        <is>
          <t>Date Agreed</t>
        </is>
      </c>
      <c r="K13" s="436" t="inlineStr">
        <is>
          <t>Notes</t>
        </is>
      </c>
      <c r="L13" s="439" t="inlineStr">
        <is>
          <t>Progress %</t>
        </is>
      </c>
      <c r="M13" s="438" t="inlineStr">
        <is>
          <t>Progress £</t>
        </is>
      </c>
      <c r="N13" s="438" t="inlineStr">
        <is>
          <t>Progress Notes</t>
        </is>
      </c>
    </row>
    <row r="14" ht="65.15000000000001" customFormat="1" customHeight="1" s="440">
      <c r="B14" s="441" t="n"/>
      <c r="C14" s="442" t="n">
        <v>1</v>
      </c>
      <c r="D14" s="443" t="inlineStr">
        <is>
          <t xml:space="preserve">Intumescent Paint Off Site Application </t>
        </is>
      </c>
      <c r="E14" s="444" t="n">
        <v>45512</v>
      </c>
      <c r="F14" s="445" t="n">
        <v>0</v>
      </c>
      <c r="G14" s="445" t="n"/>
      <c r="H14" s="445" t="n"/>
      <c r="I14" s="446" t="inlineStr">
        <is>
          <t>Agreed</t>
        </is>
      </c>
      <c r="J14" s="447" t="n">
        <v>45523</v>
      </c>
      <c r="K14" s="448" t="n"/>
      <c r="L14" s="449" t="n">
        <v>1</v>
      </c>
      <c r="M14" s="446">
        <f>IF(Table14[[#This Row],[Progress %]]="","",Table14[[#This Row],[Progress %]]*Table14[[#This Row],[Value £]])</f>
        <v/>
      </c>
      <c r="N14" s="448" t="inlineStr">
        <is>
          <t>In line with S/C % Complete</t>
        </is>
      </c>
    </row>
    <row r="15" ht="65.15000000000001" customFormat="1" customHeight="1" s="440">
      <c r="B15" s="441" t="n"/>
      <c r="C15" s="442" t="n">
        <v>2</v>
      </c>
      <c r="D15" s="450" t="inlineStr">
        <is>
          <t xml:space="preserve">Adds &amp; Omits ; Tender Vs Construction </t>
        </is>
      </c>
      <c r="E15" s="444" t="n"/>
      <c r="F15" s="445" t="inlineStr">
        <is>
          <t>TBC</t>
        </is>
      </c>
      <c r="G15" s="445" t="n"/>
      <c r="H15" s="445" t="n"/>
      <c r="I15" s="446" t="inlineStr">
        <is>
          <t>To be Agreed</t>
        </is>
      </c>
      <c r="J15" s="447" t="n"/>
      <c r="K15" s="448" t="n"/>
      <c r="L15" s="449" t="n"/>
      <c r="M15" s="446">
        <f>IF(Table14[[#This Row],[Progress %]]="","",Table14[[#This Row],[Progress %]]*Table14[[#This Row],[Value £]])</f>
        <v/>
      </c>
      <c r="N15" s="448" t="n"/>
    </row>
    <row r="16" ht="65.15000000000001" customFormat="1" customHeight="1" s="440">
      <c r="B16" s="441" t="n"/>
      <c r="C16" s="442" t="n"/>
      <c r="D16" s="443" t="inlineStr">
        <is>
          <t xml:space="preserve">NEW STEELWOIRK </t>
        </is>
      </c>
      <c r="E16" s="444" t="n"/>
      <c r="F16" s="445" t="n">
        <v>5000</v>
      </c>
      <c r="G16" s="445" t="n"/>
      <c r="H16" s="445" t="n"/>
      <c r="I16" s="446" t="n"/>
      <c r="J16" s="447" t="n"/>
      <c r="K16" s="448" t="n"/>
      <c r="L16" s="449" t="n"/>
      <c r="M16" s="446" t="n"/>
      <c r="N16" s="448" t="n"/>
    </row>
    <row r="17" ht="65.15000000000001" customFormat="1" customHeight="1" s="440">
      <c r="B17" s="441" t="n"/>
      <c r="C17" s="442" t="n"/>
      <c r="D17" s="443" t="n"/>
      <c r="E17" s="444" t="n"/>
      <c r="F17" s="445" t="n"/>
      <c r="G17" s="445" t="n"/>
      <c r="H17" s="445" t="n"/>
      <c r="I17" s="446" t="n"/>
      <c r="J17" s="447" t="n"/>
      <c r="K17" s="448" t="n"/>
      <c r="L17" s="449" t="n"/>
      <c r="M17" s="446" t="n"/>
      <c r="N17" s="448" t="n"/>
    </row>
    <row r="18" ht="65.15000000000001" customFormat="1" customHeight="1" s="440">
      <c r="B18" s="441" t="n"/>
      <c r="C18" s="442" t="n"/>
      <c r="D18" s="443" t="n"/>
      <c r="E18" s="444" t="n"/>
      <c r="F18" s="445" t="n"/>
      <c r="G18" s="445" t="n"/>
      <c r="H18" s="445" t="n"/>
      <c r="I18" s="446" t="n"/>
      <c r="J18" s="447" t="n"/>
      <c r="K18" s="448" t="n"/>
      <c r="L18" s="449" t="n"/>
      <c r="M18" s="446" t="n"/>
      <c r="N18" s="448" t="n"/>
    </row>
    <row r="19" ht="65.15000000000001" customFormat="1" customHeight="1" s="440">
      <c r="B19" s="441" t="n"/>
      <c r="C19" s="442" t="n"/>
      <c r="D19" s="450" t="n"/>
      <c r="E19" s="444" t="n"/>
      <c r="F19" s="445" t="n"/>
      <c r="G19" s="445" t="n"/>
      <c r="H19" s="445" t="n"/>
      <c r="I19" s="446" t="n"/>
      <c r="J19" s="447" t="n"/>
      <c r="K19" s="451" t="n"/>
      <c r="L19" s="452" t="n"/>
      <c r="M19" s="453" t="n"/>
      <c r="N19" s="448" t="n"/>
    </row>
    <row r="20" ht="65.15000000000001" customFormat="1" customHeight="1" s="454">
      <c r="B20" s="441" t="n"/>
      <c r="C20" s="442" t="n"/>
      <c r="D20" s="450" t="n"/>
      <c r="E20" s="444" t="n"/>
      <c r="F20" s="445" t="n"/>
      <c r="G20" s="445" t="n"/>
      <c r="H20" s="445" t="n"/>
      <c r="I20" s="446" t="n"/>
      <c r="J20" s="447" t="n"/>
      <c r="K20" s="448" t="n"/>
      <c r="L20" s="449" t="n"/>
      <c r="M20" s="446" t="n"/>
      <c r="N20" s="448" t="n"/>
    </row>
    <row r="21" ht="65.15000000000001" customFormat="1" customHeight="1" s="454">
      <c r="B21" s="441" t="n"/>
      <c r="C21" s="442" t="n"/>
      <c r="D21" s="443" t="n"/>
      <c r="E21" s="444" t="n"/>
      <c r="F21" s="445" t="n"/>
      <c r="G21" s="445" t="n"/>
      <c r="H21" s="445" t="n"/>
      <c r="I21" s="446" t="n"/>
      <c r="J21" s="447" t="n"/>
      <c r="K21" s="448" t="n"/>
      <c r="L21" s="449" t="n"/>
      <c r="M21" s="446" t="n"/>
      <c r="N21" s="448" t="n"/>
    </row>
    <row r="22" ht="65.15000000000001" customFormat="1" customHeight="1" s="454">
      <c r="B22" s="441" t="n"/>
      <c r="C22" s="442" t="n"/>
      <c r="D22" s="443" t="n"/>
      <c r="E22" s="444" t="n"/>
      <c r="F22" s="445" t="n"/>
      <c r="G22" s="445" t="n"/>
      <c r="H22" s="445" t="n"/>
      <c r="I22" s="446" t="n"/>
      <c r="J22" s="447" t="n"/>
      <c r="K22" s="448" t="n"/>
      <c r="L22" s="449" t="n"/>
      <c r="M22" s="446" t="n"/>
      <c r="N22" s="448" t="n"/>
    </row>
    <row r="23" ht="65.15000000000001" customFormat="1" customHeight="1" s="454">
      <c r="B23" s="441" t="n"/>
      <c r="C23" s="442">
        <f>IF(Table14[[#This Row],[Description]]="","",C22+1)</f>
        <v/>
      </c>
      <c r="D23" s="443" t="n"/>
      <c r="E23" s="444" t="n"/>
      <c r="F23" s="445" t="n"/>
      <c r="G23" s="445" t="n"/>
      <c r="H23" s="445" t="n"/>
      <c r="I23" s="446" t="n"/>
      <c r="J23" s="447" t="n"/>
      <c r="K23" s="448" t="n"/>
      <c r="L23" s="449" t="n"/>
      <c r="M23" s="446">
        <f>IF(Table14[[#This Row],[Progress %]]="","",Table14[[#This Row],[Progress %]]*Table14[[#This Row],[Value £]])</f>
        <v/>
      </c>
      <c r="N23" s="448" t="n"/>
    </row>
    <row r="24" ht="65.15000000000001" customFormat="1" customHeight="1" s="454">
      <c r="B24" s="441" t="n"/>
      <c r="C24" s="442">
        <f>IF(Table14[[#This Row],[Description]]="","",C23+1)</f>
        <v/>
      </c>
      <c r="D24" s="443" t="n"/>
      <c r="E24" s="444" t="n"/>
      <c r="F24" s="445" t="n"/>
      <c r="G24" s="445" t="n"/>
      <c r="H24" s="445" t="n"/>
      <c r="I24" s="446" t="n"/>
      <c r="J24" s="447" t="n"/>
      <c r="K24" s="448" t="n"/>
      <c r="L24" s="449" t="n"/>
      <c r="M24" s="446">
        <f>IF(Table14[[#This Row],[Progress %]]="","",Table14[[#This Row],[Progress %]]*Table14[[#This Row],[Value £]])</f>
        <v/>
      </c>
      <c r="N24" s="448" t="n"/>
    </row>
    <row r="25" ht="65.15000000000001" customFormat="1" customHeight="1" s="454">
      <c r="B25" s="441" t="n"/>
      <c r="C25" s="442">
        <f>IF(Table14[[#This Row],[Description]]="","",C24+1)</f>
        <v/>
      </c>
      <c r="D25" s="443" t="n"/>
      <c r="E25" s="444" t="n"/>
      <c r="F25" s="445" t="n"/>
      <c r="G25" s="445" t="n"/>
      <c r="H25" s="445" t="n"/>
      <c r="I25" s="446" t="n"/>
      <c r="J25" s="447" t="n"/>
      <c r="K25" s="448" t="n"/>
      <c r="L25" s="449" t="n"/>
      <c r="M25" s="446">
        <f>IF(Table14[[#This Row],[Progress %]]="","",Table14[[#This Row],[Progress %]]*Table14[[#This Row],[Value £]])</f>
        <v/>
      </c>
      <c r="N25" s="448" t="n"/>
    </row>
    <row r="26" ht="65.15000000000001" customFormat="1" customHeight="1" s="454">
      <c r="B26" s="441" t="n"/>
      <c r="C26" s="442">
        <f>IF(Table14[[#This Row],[Description]]="","",C25+1)</f>
        <v/>
      </c>
      <c r="D26" s="443" t="n"/>
      <c r="E26" s="444" t="n"/>
      <c r="F26" s="445" t="n"/>
      <c r="G26" s="445" t="n"/>
      <c r="H26" s="445" t="n"/>
      <c r="I26" s="446" t="n"/>
      <c r="J26" s="447" t="n"/>
      <c r="K26" s="448" t="n"/>
      <c r="L26" s="449" t="n"/>
      <c r="M26" s="446">
        <f>IF(Table14[[#This Row],[Progress %]]="","",Table14[[#This Row],[Progress %]]*Table14[[#This Row],[Value £]])</f>
        <v/>
      </c>
      <c r="N26" s="448" t="n"/>
    </row>
    <row r="27" ht="65.15000000000001" customFormat="1" customHeight="1" s="454">
      <c r="B27" s="441" t="n"/>
      <c r="C27" s="442">
        <f>IF(Table14[[#This Row],[Description]]="","",C26+1)</f>
        <v/>
      </c>
      <c r="D27" s="443" t="n"/>
      <c r="E27" s="444" t="n"/>
      <c r="F27" s="445" t="n"/>
      <c r="G27" s="445" t="n"/>
      <c r="H27" s="445" t="n"/>
      <c r="I27" s="446" t="n"/>
      <c r="J27" s="447" t="n"/>
      <c r="K27" s="448" t="n"/>
      <c r="L27" s="449" t="n"/>
      <c r="M27" s="446">
        <f>IF(Table14[[#This Row],[Progress %]]="","",Table14[[#This Row],[Progress %]]*Table14[[#This Row],[Value £]])</f>
        <v/>
      </c>
      <c r="N27" s="448" t="n"/>
    </row>
    <row r="28" ht="65.15000000000001" customFormat="1" customHeight="1" s="454">
      <c r="B28" s="441" t="n"/>
      <c r="C28" s="442">
        <f>IF(Table14[[#This Row],[Description]]="","",C27+1)</f>
        <v/>
      </c>
      <c r="D28" s="443" t="n"/>
      <c r="E28" s="444" t="n"/>
      <c r="F28" s="445" t="n"/>
      <c r="G28" s="445" t="n"/>
      <c r="H28" s="445" t="n"/>
      <c r="I28" s="446" t="n"/>
      <c r="J28" s="447" t="n"/>
      <c r="K28" s="448" t="n"/>
      <c r="L28" s="449" t="n"/>
      <c r="M28" s="446">
        <f>IF(Table14[[#This Row],[Progress %]]="","",Table14[[#This Row],[Progress %]]*Table14[[#This Row],[Value £]])</f>
        <v/>
      </c>
      <c r="N28" s="448" t="n"/>
    </row>
    <row r="29" ht="65.15000000000001" customFormat="1" customHeight="1" s="454">
      <c r="B29" s="441" t="n"/>
      <c r="C29" s="442">
        <f>IF(Table14[[#This Row],[Description]]="","",C28+1)</f>
        <v/>
      </c>
      <c r="D29" s="443" t="n"/>
      <c r="E29" s="444" t="n"/>
      <c r="F29" s="445" t="n"/>
      <c r="G29" s="445" t="n"/>
      <c r="H29" s="445" t="n"/>
      <c r="I29" s="446" t="n"/>
      <c r="J29" s="447" t="n"/>
      <c r="K29" s="448" t="n"/>
      <c r="L29" s="449" t="n"/>
      <c r="M29" s="446">
        <f>IF(Table14[[#This Row],[Progress %]]="","",Table14[[#This Row],[Progress %]]*Table14[[#This Row],[Value £]])</f>
        <v/>
      </c>
      <c r="N29" s="448" t="n"/>
    </row>
    <row r="30" ht="65.15000000000001" customFormat="1" customHeight="1" s="454">
      <c r="B30" s="441" t="n"/>
      <c r="C30" s="442">
        <f>IF(Table14[[#This Row],[Description]]="","",C29+1)</f>
        <v/>
      </c>
      <c r="D30" s="443" t="n"/>
      <c r="E30" s="444" t="n"/>
      <c r="F30" s="445" t="n"/>
      <c r="G30" s="445" t="n"/>
      <c r="H30" s="445" t="n"/>
      <c r="I30" s="446" t="n"/>
      <c r="J30" s="447" t="n"/>
      <c r="K30" s="448" t="n"/>
      <c r="L30" s="449" t="n"/>
      <c r="M30" s="446">
        <f>IF(Table14[[#This Row],[Progress %]]="","",Table14[[#This Row],[Progress %]]*Table14[[#This Row],[Value £]])</f>
        <v/>
      </c>
      <c r="N30" s="448" t="n"/>
    </row>
    <row r="31" ht="65.15000000000001" customFormat="1" customHeight="1" s="454">
      <c r="B31" s="441" t="n"/>
      <c r="C31" s="442">
        <f>IF(Table14[[#This Row],[Description]]="","",C30+1)</f>
        <v/>
      </c>
      <c r="D31" s="443" t="n"/>
      <c r="E31" s="444" t="n"/>
      <c r="F31" s="445" t="n"/>
      <c r="G31" s="445" t="n"/>
      <c r="H31" s="445" t="n"/>
      <c r="I31" s="446" t="n"/>
      <c r="J31" s="447" t="n"/>
      <c r="K31" s="448" t="n"/>
      <c r="L31" s="449" t="n"/>
      <c r="M31" s="446">
        <f>IF(Table14[[#This Row],[Progress %]]="","",Table14[[#This Row],[Progress %]]*Table14[[#This Row],[Value £]])</f>
        <v/>
      </c>
      <c r="N31" s="448" t="n"/>
    </row>
    <row r="32" ht="65.15000000000001" customFormat="1" customHeight="1" s="454">
      <c r="B32" s="441" t="n"/>
      <c r="C32" s="442">
        <f>IF(Table14[[#This Row],[Description]]="","",C31+1)</f>
        <v/>
      </c>
      <c r="D32" s="443" t="n"/>
      <c r="E32" s="444" t="n"/>
      <c r="F32" s="445" t="n"/>
      <c r="G32" s="445" t="n"/>
      <c r="H32" s="445" t="n"/>
      <c r="I32" s="446" t="n"/>
      <c r="J32" s="447" t="n"/>
      <c r="K32" s="448" t="n"/>
      <c r="L32" s="449" t="n"/>
      <c r="M32" s="446">
        <f>IF(Table14[[#This Row],[Progress %]]="","",Table14[[#This Row],[Progress %]]*Table14[[#This Row],[Value £]])</f>
        <v/>
      </c>
      <c r="N32" s="448" t="n"/>
    </row>
    <row r="33" ht="65.15000000000001" customFormat="1" customHeight="1" s="454">
      <c r="B33" s="441" t="n"/>
      <c r="C33" s="442">
        <f>IF(Table14[[#This Row],[Description]]="","",C32+1)</f>
        <v/>
      </c>
      <c r="D33" s="443" t="n"/>
      <c r="E33" s="444" t="n"/>
      <c r="F33" s="445" t="n"/>
      <c r="G33" s="445" t="n"/>
      <c r="H33" s="445" t="n"/>
      <c r="I33" s="446" t="n"/>
      <c r="J33" s="447" t="n"/>
      <c r="K33" s="448" t="n"/>
      <c r="L33" s="449" t="n"/>
      <c r="M33" s="446">
        <f>IF(Table14[[#This Row],[Progress %]]="","",Table14[[#This Row],[Progress %]]*Table14[[#This Row],[Value £]])</f>
        <v/>
      </c>
      <c r="N33" s="448" t="n"/>
    </row>
    <row r="34" ht="65.15000000000001" customFormat="1" customHeight="1" s="454">
      <c r="B34" s="441" t="n"/>
      <c r="C34" s="442">
        <f>IF(Table14[[#This Row],[Description]]="","",C33+1)</f>
        <v/>
      </c>
      <c r="D34" s="443" t="n"/>
      <c r="E34" s="444" t="n"/>
      <c r="F34" s="445" t="n"/>
      <c r="G34" s="445" t="n"/>
      <c r="H34" s="445" t="n"/>
      <c r="I34" s="446" t="n"/>
      <c r="J34" s="447" t="n"/>
      <c r="K34" s="448" t="n"/>
      <c r="L34" s="449" t="n"/>
      <c r="M34" s="446">
        <f>IF(Table14[[#This Row],[Progress %]]="","",Table14[[#This Row],[Progress %]]*Table14[[#This Row],[Value £]])</f>
        <v/>
      </c>
      <c r="N34" s="448" t="n"/>
    </row>
    <row r="35" ht="65.15000000000001" customFormat="1" customHeight="1" s="454">
      <c r="B35" s="441" t="n"/>
      <c r="C35" s="442">
        <f>IF(Table14[[#This Row],[Description]]="","",C34+1)</f>
        <v/>
      </c>
      <c r="D35" s="443" t="n"/>
      <c r="E35" s="444" t="n"/>
      <c r="F35" s="445" t="n"/>
      <c r="G35" s="445" t="n"/>
      <c r="H35" s="445" t="n"/>
      <c r="I35" s="446" t="n"/>
      <c r="J35" s="447" t="n"/>
      <c r="K35" s="448" t="n"/>
      <c r="L35" s="449" t="n"/>
      <c r="M35" s="446">
        <f>IF(Table14[[#This Row],[Progress %]]="","",Table14[[#This Row],[Progress %]]*Table14[[#This Row],[Value £]])</f>
        <v/>
      </c>
      <c r="N35" s="448" t="n"/>
    </row>
    <row r="36" ht="65.15000000000001" customFormat="1" customHeight="1" s="454">
      <c r="B36" s="441" t="n"/>
      <c r="C36" s="442">
        <f>IF(Table14[[#This Row],[Description]]="","",C35+1)</f>
        <v/>
      </c>
      <c r="D36" s="443" t="n"/>
      <c r="E36" s="444" t="n"/>
      <c r="F36" s="445" t="n"/>
      <c r="G36" s="445" t="n"/>
      <c r="H36" s="445" t="n"/>
      <c r="I36" s="446" t="n"/>
      <c r="J36" s="447" t="n"/>
      <c r="K36" s="448" t="n"/>
      <c r="L36" s="449" t="n"/>
      <c r="M36" s="446">
        <f>IF(Table14[[#This Row],[Progress %]]="","",Table14[[#This Row],[Progress %]]*Table14[[#This Row],[Value £]])</f>
        <v/>
      </c>
      <c r="N36" s="448" t="n"/>
    </row>
    <row r="37" ht="65.15000000000001" customFormat="1" customHeight="1" s="454">
      <c r="B37" s="441" t="n"/>
      <c r="C37" s="442">
        <f>IF(Table14[[#This Row],[Description]]="","",C36+1)</f>
        <v/>
      </c>
      <c r="D37" s="443" t="n"/>
      <c r="E37" s="444" t="n"/>
      <c r="F37" s="445" t="n"/>
      <c r="G37" s="445" t="n"/>
      <c r="H37" s="445" t="n"/>
      <c r="I37" s="446" t="n"/>
      <c r="J37" s="447" t="n"/>
      <c r="K37" s="448" t="n"/>
      <c r="L37" s="449" t="n"/>
      <c r="M37" s="446">
        <f>IF(Table14[[#This Row],[Progress %]]="","",Table14[[#This Row],[Progress %]]*Table14[[#This Row],[Value £]])</f>
        <v/>
      </c>
      <c r="N37" s="448" t="n"/>
    </row>
    <row r="38" ht="65.15000000000001" customFormat="1" customHeight="1" s="454">
      <c r="B38" s="441" t="n"/>
      <c r="C38" s="442">
        <f>IF(Table14[[#This Row],[Description]]="","",C37+1)</f>
        <v/>
      </c>
      <c r="D38" s="443" t="n"/>
      <c r="E38" s="444" t="n"/>
      <c r="F38" s="445" t="n"/>
      <c r="G38" s="445" t="n"/>
      <c r="H38" s="445" t="n"/>
      <c r="I38" s="446" t="n"/>
      <c r="J38" s="447" t="n"/>
      <c r="K38" s="448" t="n"/>
      <c r="L38" s="449" t="n"/>
      <c r="M38" s="446">
        <f>IF(Table14[[#This Row],[Progress %]]="","",Table14[[#This Row],[Progress %]]*Table14[[#This Row],[Value £]])</f>
        <v/>
      </c>
      <c r="N38" s="448" t="n"/>
    </row>
    <row r="39" ht="65.15000000000001" customFormat="1" customHeight="1" s="454">
      <c r="B39" s="441" t="n"/>
      <c r="C39" s="442">
        <f>IF(Table14[[#This Row],[Description]]="","",C38+1)</f>
        <v/>
      </c>
      <c r="D39" s="443" t="n"/>
      <c r="E39" s="444" t="n"/>
      <c r="F39" s="445" t="n"/>
      <c r="G39" s="445" t="n"/>
      <c r="H39" s="445" t="n"/>
      <c r="I39" s="446" t="n"/>
      <c r="J39" s="447" t="n"/>
      <c r="K39" s="448" t="n"/>
      <c r="L39" s="449" t="n"/>
      <c r="M39" s="446">
        <f>IF(Table14[[#This Row],[Progress %]]="","",Table14[[#This Row],[Progress %]]*Table14[[#This Row],[Value £]])</f>
        <v/>
      </c>
      <c r="N39" s="448" t="n"/>
    </row>
    <row r="40" ht="65.15000000000001" customFormat="1" customHeight="1" s="454">
      <c r="B40" s="441" t="n"/>
      <c r="C40" s="442">
        <f>IF(Table14[[#This Row],[Description]]="","",C39+1)</f>
        <v/>
      </c>
      <c r="D40" s="443" t="n"/>
      <c r="E40" s="444" t="n"/>
      <c r="F40" s="445" t="n"/>
      <c r="G40" s="445" t="n"/>
      <c r="H40" s="445" t="n"/>
      <c r="I40" s="446" t="n"/>
      <c r="J40" s="447" t="n"/>
      <c r="K40" s="448" t="n"/>
      <c r="L40" s="449" t="n"/>
      <c r="M40" s="446">
        <f>IF(Table14[[#This Row],[Progress %]]="","",Table14[[#This Row],[Progress %]]*Table14[[#This Row],[Value £]])</f>
        <v/>
      </c>
      <c r="N40" s="448" t="n"/>
    </row>
    <row r="41" ht="65.15000000000001" customFormat="1" customHeight="1" s="454">
      <c r="B41" s="441" t="n"/>
      <c r="C41" s="442">
        <f>IF(Table14[[#This Row],[Description]]="","",C40+1)</f>
        <v/>
      </c>
      <c r="D41" s="443" t="n"/>
      <c r="E41" s="444" t="n"/>
      <c r="F41" s="445" t="n"/>
      <c r="G41" s="445" t="n"/>
      <c r="H41" s="445" t="n"/>
      <c r="I41" s="446" t="n"/>
      <c r="J41" s="447" t="n"/>
      <c r="K41" s="448" t="n"/>
      <c r="L41" s="449" t="n"/>
      <c r="M41" s="446">
        <f>IF(Table14[[#This Row],[Progress %]]="","",Table14[[#This Row],[Progress %]]*Table14[[#This Row],[Value £]])</f>
        <v/>
      </c>
      <c r="N41" s="448" t="n"/>
    </row>
    <row r="42" ht="65.15000000000001" customFormat="1" customHeight="1" s="454">
      <c r="B42" s="441" t="n"/>
      <c r="C42" s="442">
        <f>IF(Table14[[#This Row],[Description]]="","",C41+1)</f>
        <v/>
      </c>
      <c r="D42" s="443" t="n"/>
      <c r="E42" s="444" t="n"/>
      <c r="F42" s="445" t="n"/>
      <c r="G42" s="445" t="n"/>
      <c r="H42" s="445" t="n"/>
      <c r="I42" s="446" t="n"/>
      <c r="J42" s="447" t="n"/>
      <c r="K42" s="448" t="n"/>
      <c r="L42" s="449" t="n"/>
      <c r="M42" s="446">
        <f>IF(Table14[[#This Row],[Progress %]]="","",Table14[[#This Row],[Progress %]]*Table14[[#This Row],[Value £]])</f>
        <v/>
      </c>
      <c r="N42" s="448" t="n"/>
    </row>
    <row r="43" ht="65.15000000000001" customFormat="1" customHeight="1" s="454">
      <c r="B43" s="441" t="n"/>
      <c r="C43" s="442">
        <f>IF(Table14[[#This Row],[Description]]="","",C42+1)</f>
        <v/>
      </c>
      <c r="D43" s="443" t="n"/>
      <c r="E43" s="444" t="n"/>
      <c r="F43" s="445" t="n"/>
      <c r="G43" s="445" t="n"/>
      <c r="H43" s="445" t="n"/>
      <c r="I43" s="446" t="n"/>
      <c r="J43" s="447" t="n"/>
      <c r="K43" s="448" t="n"/>
      <c r="L43" s="449" t="n"/>
      <c r="M43" s="446">
        <f>IF(Table14[[#This Row],[Progress %]]="","",Table14[[#This Row],[Progress %]]*Table14[[#This Row],[Value £]])</f>
        <v/>
      </c>
      <c r="N43" s="448" t="n"/>
    </row>
    <row r="44" ht="65.15000000000001" customFormat="1" customHeight="1" s="454">
      <c r="B44" s="441" t="n"/>
      <c r="C44" s="442">
        <f>IF(Table14[[#This Row],[Description]]="","",C43+1)</f>
        <v/>
      </c>
      <c r="D44" s="443" t="n"/>
      <c r="E44" s="444" t="n"/>
      <c r="F44" s="445" t="n"/>
      <c r="G44" s="445" t="n"/>
      <c r="H44" s="445" t="n"/>
      <c r="I44" s="446" t="n"/>
      <c r="J44" s="447" t="n"/>
      <c r="K44" s="448" t="n"/>
      <c r="L44" s="449" t="n"/>
      <c r="M44" s="446">
        <f>IF(Table14[[#This Row],[Progress %]]="","",Table14[[#This Row],[Progress %]]*Table14[[#This Row],[Value £]])</f>
        <v/>
      </c>
      <c r="N44" s="448" t="n"/>
    </row>
    <row r="45" ht="65.15000000000001" customFormat="1" customHeight="1" s="454">
      <c r="B45" s="441" t="n"/>
      <c r="C45" s="442">
        <f>IF(Table14[[#This Row],[Description]]="","",C44+1)</f>
        <v/>
      </c>
      <c r="D45" s="443" t="n"/>
      <c r="E45" s="444" t="n"/>
      <c r="F45" s="445" t="n"/>
      <c r="G45" s="445" t="n"/>
      <c r="H45" s="445">
        <f>IF(SUMIF([3]!table15[vo '#],table14[[#this row],[ vo]],[3]!table15[total £])=0,"",sumif([3]!table15[vo '#],Table14[[#This Row],[ VO]],[3]!table15[total £]))),TRUE())),TRUE())),TRUE())),TRUE())),TRUE())),TRUE())),TRUE())</f>
        <v/>
      </c>
      <c r="I45" s="446" t="n"/>
      <c r="J45" s="447" t="n"/>
      <c r="K45" s="448" t="n"/>
      <c r="L45" s="449" t="n"/>
      <c r="M45" s="446">
        <f>IF(Table14[[#This Row],[Progress %]]="","",Table14[[#This Row],[Progress %]]*Table14[[#This Row],[Value £]])</f>
        <v/>
      </c>
      <c r="N45" s="448" t="n"/>
    </row>
    <row r="46" ht="65.15000000000001" customFormat="1" customHeight="1" s="454">
      <c r="B46" s="441" t="n"/>
      <c r="C46" s="442">
        <f>IF(Table14[[#This Row],[Description]]="","",C45+1)</f>
        <v/>
      </c>
      <c r="D46" s="443" t="n"/>
      <c r="E46" s="444" t="n"/>
      <c r="F46" s="445" t="n"/>
      <c r="G46" s="445" t="n"/>
      <c r="H46" s="445" t="n"/>
      <c r="I46" s="446" t="n"/>
      <c r="J46" s="447" t="n"/>
      <c r="K46" s="448" t="n"/>
      <c r="L46" s="449" t="n"/>
      <c r="M46" s="446">
        <f>IF(Table14[[#This Row],[Progress %]]="","",Table14[[#This Row],[Progress %]]*Table14[[#This Row],[Value £]])</f>
        <v/>
      </c>
      <c r="N46" s="448" t="n"/>
    </row>
    <row r="47" ht="65.15000000000001" customFormat="1" customHeight="1" s="454">
      <c r="B47" s="441" t="n"/>
      <c r="C47" s="442">
        <f>IF(Table14[[#This Row],[Description]]="","",C46+1)</f>
        <v/>
      </c>
      <c r="D47" s="443" t="n"/>
      <c r="E47" s="444" t="n"/>
      <c r="F47" s="445" t="n"/>
      <c r="G47" s="445" t="n"/>
      <c r="H47" s="445" t="n"/>
      <c r="I47" s="446" t="n"/>
      <c r="J47" s="447" t="n"/>
      <c r="K47" s="448" t="n"/>
      <c r="L47" s="449" t="n"/>
      <c r="M47" s="446">
        <f>IF(Table14[[#This Row],[Progress %]]="","",Table14[[#This Row],[Progress %]]*Table14[[#This Row],[Value £]])</f>
        <v/>
      </c>
      <c r="N47" s="448" t="n"/>
    </row>
    <row r="48" ht="65.15000000000001" customFormat="1" customHeight="1" s="454">
      <c r="B48" s="441" t="n"/>
      <c r="C48" s="442">
        <f>IF(Table14[[#This Row],[Description]]="","",C47+1)</f>
        <v/>
      </c>
      <c r="D48" s="443" t="n"/>
      <c r="E48" s="444" t="n"/>
      <c r="F48" s="445" t="n"/>
      <c r="G48" s="445" t="n"/>
      <c r="H48" s="445" t="n"/>
      <c r="I48" s="446" t="n"/>
      <c r="J48" s="447" t="n"/>
      <c r="K48" s="448" t="n"/>
      <c r="L48" s="449" t="n"/>
      <c r="M48" s="446">
        <f>IF(Table14[[#This Row],[Progress %]]="","",Table14[[#This Row],[Progress %]]*Table14[[#This Row],[Value £]])</f>
        <v/>
      </c>
      <c r="N48" s="448" t="n"/>
    </row>
    <row r="49" ht="65.15000000000001" customFormat="1" customHeight="1" s="454">
      <c r="B49" s="441" t="n"/>
      <c r="C49" s="442">
        <f>IF(Table14[[#This Row],[Description]]="","",C48+1)</f>
        <v/>
      </c>
      <c r="D49" s="443" t="n"/>
      <c r="E49" s="444" t="n"/>
      <c r="F49" s="445" t="n"/>
      <c r="G49" s="445" t="n"/>
      <c r="H49" s="445" t="n"/>
      <c r="I49" s="446" t="n"/>
      <c r="J49" s="447" t="n"/>
      <c r="K49" s="448" t="n"/>
      <c r="L49" s="449" t="n"/>
      <c r="M49" s="446">
        <f>IF(Table14[[#This Row],[Progress %]]="","",Table14[[#This Row],[Progress %]]*Table14[[#This Row],[Value £]])</f>
        <v/>
      </c>
      <c r="N49" s="448" t="n"/>
    </row>
    <row r="50" ht="65.15000000000001" customFormat="1" customHeight="1" s="454">
      <c r="B50" s="441" t="n"/>
      <c r="C50" s="442">
        <f>IF(Table14[[#This Row],[Description]]="","",C49+1)</f>
        <v/>
      </c>
      <c r="D50" s="443" t="n"/>
      <c r="E50" s="444" t="n"/>
      <c r="F50" s="445" t="n"/>
      <c r="G50" s="445" t="n"/>
      <c r="H50" s="445" t="n"/>
      <c r="I50" s="446" t="n"/>
      <c r="J50" s="447" t="n"/>
      <c r="K50" s="448" t="n"/>
      <c r="L50" s="449" t="n"/>
      <c r="M50" s="446">
        <f>IF(Table14[[#This Row],[Progress %]]="","",Table14[[#This Row],[Progress %]]*Table14[[#This Row],[Value £]])</f>
        <v/>
      </c>
      <c r="N50" s="448" t="n"/>
    </row>
    <row r="51" ht="65.15000000000001" customFormat="1" customHeight="1" s="454">
      <c r="B51" s="441" t="n"/>
      <c r="C51" s="442">
        <f>IF(Table14[[#This Row],[Description]]="","",C50+1)</f>
        <v/>
      </c>
      <c r="D51" s="443" t="n"/>
      <c r="E51" s="444" t="n"/>
      <c r="F51" s="445" t="n"/>
      <c r="G51" s="445" t="n"/>
      <c r="H51" s="445" t="n"/>
      <c r="I51" s="446" t="n"/>
      <c r="J51" s="447" t="n"/>
      <c r="K51" s="448" t="n"/>
      <c r="L51" s="449" t="n"/>
      <c r="M51" s="446">
        <f>IF(Table14[[#This Row],[Progress %]]="","",Table14[[#This Row],[Progress %]]*Table14[[#This Row],[Value £]])</f>
        <v/>
      </c>
      <c r="N51" s="448" t="n"/>
    </row>
    <row r="52" ht="65.15000000000001" customFormat="1" customHeight="1" s="454">
      <c r="B52" s="441" t="n"/>
      <c r="C52" s="442">
        <f>IF(Table14[[#This Row],[Description]]="","",C51+1)</f>
        <v/>
      </c>
      <c r="D52" s="443" t="n"/>
      <c r="E52" s="444" t="n"/>
      <c r="F52" s="445" t="n"/>
      <c r="G52" s="445" t="n"/>
      <c r="H52" s="445" t="n"/>
      <c r="I52" s="446" t="n"/>
      <c r="J52" s="447" t="n"/>
      <c r="K52" s="448" t="n"/>
      <c r="L52" s="449" t="n"/>
      <c r="M52" s="446">
        <f>IF(Table14[[#This Row],[Progress %]]="","",Table14[[#This Row],[Progress %]]*Table14[[#This Row],[Value £]])</f>
        <v/>
      </c>
      <c r="N52" s="448" t="n"/>
    </row>
    <row r="53" ht="65.15000000000001" customFormat="1" customHeight="1" s="454">
      <c r="B53" s="441" t="n"/>
      <c r="C53" s="442">
        <f>IF(Table14[[#This Row],[Description]]="","",C52+1)</f>
        <v/>
      </c>
      <c r="D53" s="443" t="n"/>
      <c r="E53" s="444" t="n"/>
      <c r="F53" s="445" t="n"/>
      <c r="G53" s="445" t="n"/>
      <c r="H53" s="445" t="n"/>
      <c r="I53" s="446" t="n"/>
      <c r="J53" s="447" t="n"/>
      <c r="K53" s="448" t="n"/>
      <c r="L53" s="449" t="n"/>
      <c r="M53" s="446">
        <f>IF(Table14[[#This Row],[Progress %]]="","",Table14[[#This Row],[Progress %]]*Table14[[#This Row],[Value £]])</f>
        <v/>
      </c>
      <c r="N53" s="448" t="n"/>
    </row>
    <row r="54" ht="65.15000000000001" customFormat="1" customHeight="1" s="454">
      <c r="B54" s="441" t="n"/>
      <c r="C54" s="442">
        <f>IF(Table14[[#This Row],[Description]]="","",C53+1)</f>
        <v/>
      </c>
      <c r="D54" s="443" t="n"/>
      <c r="E54" s="444" t="n"/>
      <c r="F54" s="445" t="n"/>
      <c r="G54" s="445" t="n"/>
      <c r="H54" s="445" t="inlineStr">
        <is>
          <t xml:space="preserve"> </t>
        </is>
      </c>
      <c r="I54" s="446" t="n"/>
      <c r="J54" s="447" t="n"/>
      <c r="K54" s="448" t="n"/>
      <c r="L54" s="449" t="n"/>
      <c r="M54" s="446">
        <f>IF(Table14[[#This Row],[Progress %]]="","",Table14[[#This Row],[Progress %]]*Table14[[#This Row],[Value £]])</f>
        <v/>
      </c>
      <c r="N54" s="448" t="n"/>
    </row>
    <row r="55" ht="65.15000000000001" customFormat="1" customHeight="1" s="454">
      <c r="B55" s="441" t="n"/>
      <c r="C55" s="442">
        <f>IF(Table14[[#This Row],[Description]]="","",C54+1)</f>
        <v/>
      </c>
      <c r="D55" s="443" t="n"/>
      <c r="E55" s="444" t="n"/>
      <c r="F55" s="445" t="n"/>
      <c r="G55" s="445" t="n"/>
      <c r="H55" s="445" t="n"/>
      <c r="I55" s="446" t="n"/>
      <c r="J55" s="447" t="n"/>
      <c r="K55" s="448" t="n"/>
      <c r="L55" s="449" t="n"/>
      <c r="M55" s="446">
        <f>IF(Table14[[#This Row],[Progress %]]="","",Table14[[#This Row],[Progress %]]*Table14[[#This Row],[Value £]])</f>
        <v/>
      </c>
      <c r="N55" s="448" t="n"/>
    </row>
    <row r="56" ht="65.15000000000001" customFormat="1" customHeight="1" s="454">
      <c r="B56" s="441" t="n"/>
      <c r="C56" s="442">
        <f>IF(Table14[[#This Row],[Description]]="","",C55+1)</f>
        <v/>
      </c>
      <c r="D56" s="443" t="n"/>
      <c r="E56" s="444" t="n"/>
      <c r="F56" s="445" t="n"/>
      <c r="G56" s="445" t="n"/>
      <c r="H56" s="445" t="n"/>
      <c r="I56" s="446" t="n"/>
      <c r="J56" s="447" t="n"/>
      <c r="K56" s="448" t="n"/>
      <c r="L56" s="449" t="n"/>
      <c r="M56" s="446">
        <f>IF(Table14[[#This Row],[Progress %]]="","",Table14[[#This Row],[Progress %]]*Table14[[#This Row],[Value £]])</f>
        <v/>
      </c>
      <c r="N56" s="448" t="n"/>
    </row>
    <row r="57" ht="65.15000000000001" customFormat="1" customHeight="1" s="454">
      <c r="B57" s="441" t="n"/>
      <c r="C57" s="442">
        <f>IF(Table14[[#This Row],[Description]]="","",C56+1)</f>
        <v/>
      </c>
      <c r="D57" s="443" t="n"/>
      <c r="E57" s="444" t="n"/>
      <c r="F57" s="445" t="n"/>
      <c r="G57" s="445" t="n"/>
      <c r="H57" s="445" t="n"/>
      <c r="I57" s="446" t="n"/>
      <c r="J57" s="447" t="n"/>
      <c r="K57" s="448" t="n"/>
      <c r="L57" s="449" t="n"/>
      <c r="M57" s="446">
        <f>IF(Table14[[#This Row],[Progress %]]="","",Table14[[#This Row],[Progress %]]*Table14[[#This Row],[Value £]])</f>
        <v/>
      </c>
      <c r="N57" s="448" t="n"/>
    </row>
    <row r="58" ht="65.15000000000001" customFormat="1" customHeight="1" s="454">
      <c r="B58" s="441" t="n"/>
      <c r="C58" s="442">
        <f>IF(Table14[[#This Row],[Description]]="","",C57+1)</f>
        <v/>
      </c>
      <c r="D58" s="443" t="n"/>
      <c r="E58" s="444" t="n"/>
      <c r="F58" s="445" t="n"/>
      <c r="G58" s="445" t="n"/>
      <c r="H58" s="445" t="n"/>
      <c r="I58" s="446" t="n"/>
      <c r="J58" s="447" t="n"/>
      <c r="K58" s="448" t="n"/>
      <c r="L58" s="449" t="n"/>
      <c r="M58" s="446">
        <f>IF(Table14[[#This Row],[Progress %]]="","",Table14[[#This Row],[Progress %]]*Table14[[#This Row],[Value £]])</f>
        <v/>
      </c>
      <c r="N58" s="448" t="n"/>
    </row>
    <row r="59" ht="65.15000000000001" customFormat="1" customHeight="1" s="454">
      <c r="B59" s="441" t="n"/>
      <c r="C59" s="442">
        <f>IF(Table14[[#This Row],[Description]]="","",C58+1)</f>
        <v/>
      </c>
      <c r="D59" s="443" t="n"/>
      <c r="E59" s="444" t="n"/>
      <c r="F59" s="445" t="n"/>
      <c r="G59" s="445" t="n"/>
      <c r="H59" s="445" t="n"/>
      <c r="I59" s="446" t="n"/>
      <c r="J59" s="447" t="n"/>
      <c r="K59" s="448" t="n"/>
      <c r="L59" s="449" t="n"/>
      <c r="M59" s="446">
        <f>IF(Table14[[#This Row],[Progress %]]="","",Table14[[#This Row],[Progress %]]*Table14[[#This Row],[Value £]])</f>
        <v/>
      </c>
      <c r="N59" s="448" t="n"/>
    </row>
    <row r="60" ht="65.15000000000001" customFormat="1" customHeight="1" s="440">
      <c r="B60" s="441" t="n"/>
      <c r="C60" s="442">
        <f>IF(Table14[[#This Row],[Description]]="","",C59+1)</f>
        <v/>
      </c>
      <c r="D60" s="443" t="n"/>
      <c r="E60" s="444" t="n"/>
      <c r="F60" s="445" t="n"/>
      <c r="G60" s="445" t="n"/>
      <c r="H60" s="445" t="n"/>
      <c r="I60" s="446" t="n"/>
      <c r="J60" s="447" t="n"/>
      <c r="K60" s="448" t="n"/>
      <c r="L60" s="449" t="n"/>
      <c r="M60" s="446">
        <f>IF(Table14[[#This Row],[Progress %]]="","",Table14[[#This Row],[Progress %]]*Table14[[#This Row],[Value £]])</f>
        <v/>
      </c>
      <c r="N60" s="448" t="n"/>
    </row>
    <row r="61" ht="65.15000000000001" customFormat="1" customHeight="1" s="440">
      <c r="B61" s="441" t="n"/>
      <c r="C61" s="442">
        <f>IF(Table14[[#This Row],[Description]]="","",C60+1)</f>
        <v/>
      </c>
      <c r="D61" s="443" t="n"/>
      <c r="E61" s="444" t="n"/>
      <c r="F61" s="445" t="n"/>
      <c r="G61" s="445" t="n"/>
      <c r="H61" s="445" t="n"/>
      <c r="I61" s="446" t="n"/>
      <c r="J61" s="447" t="n"/>
      <c r="K61" s="448" t="n"/>
      <c r="L61" s="449" t="n"/>
      <c r="M61" s="446">
        <f>IF(Table14[[#This Row],[Progress %]]="","",Table14[[#This Row],[Progress %]]*Table14[[#This Row],[Value £]])</f>
        <v/>
      </c>
      <c r="N61" s="448" t="n"/>
    </row>
    <row r="62" ht="65.15000000000001" customFormat="1" customHeight="1" s="440">
      <c r="B62" s="441" t="n"/>
      <c r="C62" s="442">
        <f>IF(Table14[[#This Row],[Description]]="","",C61+1)</f>
        <v/>
      </c>
      <c r="D62" s="443" t="n"/>
      <c r="E62" s="444" t="n"/>
      <c r="F62" s="445" t="n"/>
      <c r="G62" s="445" t="n"/>
      <c r="H62" s="445" t="n"/>
      <c r="I62" s="446" t="n"/>
      <c r="J62" s="447" t="n"/>
      <c r="K62" s="448" t="n"/>
      <c r="L62" s="449" t="n"/>
      <c r="M62" s="446">
        <f>IF(Table14[[#This Row],[Progress %]]="","",Table14[[#This Row],[Progress %]]*Table14[[#This Row],[Value £]])</f>
        <v/>
      </c>
      <c r="N62" s="448" t="n"/>
    </row>
    <row r="63" ht="65.15000000000001" customFormat="1" customHeight="1" s="440">
      <c r="B63" s="441" t="n"/>
      <c r="C63" s="442">
        <f>IF(Table14[[#This Row],[Description]]="","",C62+1)</f>
        <v/>
      </c>
      <c r="D63" s="443" t="n"/>
      <c r="E63" s="444" t="n"/>
      <c r="F63" s="445" t="n"/>
      <c r="G63" s="445" t="n"/>
      <c r="H63" s="445" t="n"/>
      <c r="I63" s="446" t="n"/>
      <c r="J63" s="447" t="n"/>
      <c r="K63" s="448" t="n"/>
      <c r="L63" s="449" t="n"/>
      <c r="M63" s="446">
        <f>IF(Table14[[#This Row],[Progress %]]="","",Table14[[#This Row],[Progress %]]*Table14[[#This Row],[Value £]])</f>
        <v/>
      </c>
      <c r="N63" s="448" t="n"/>
    </row>
    <row r="64" ht="65.15000000000001" customFormat="1" customHeight="1" s="440">
      <c r="B64" s="441" t="n"/>
      <c r="C64" s="442">
        <f>IF(Table14[[#This Row],[Description]]="","",C63+1)</f>
        <v/>
      </c>
      <c r="D64" s="443" t="n"/>
      <c r="E64" s="444" t="n"/>
      <c r="F64" s="445" t="n"/>
      <c r="G64" s="445" t="n"/>
      <c r="H64" s="445" t="n"/>
      <c r="I64" s="446" t="n"/>
      <c r="J64" s="447" t="n"/>
      <c r="K64" s="451" t="n"/>
      <c r="L64" s="452" t="n"/>
      <c r="M64" s="453">
        <f>IF(Table14[[#This Row],[Progress %]]="","",Table14[[#This Row],[Progress %]]*Table14[[#This Row],[Value £]])</f>
        <v/>
      </c>
      <c r="N64" s="448" t="n"/>
    </row>
    <row r="65" ht="65.15000000000001" customFormat="1" customHeight="1" s="440">
      <c r="B65" s="441" t="n"/>
      <c r="C65" s="442">
        <f>IF(Table14[[#This Row],[Description]]="","",C64+1)</f>
        <v/>
      </c>
      <c r="D65" s="443" t="n"/>
      <c r="E65" s="444" t="n"/>
      <c r="F65" s="445" t="n"/>
      <c r="G65" s="445" t="n"/>
      <c r="H65" s="445" t="n"/>
      <c r="I65" s="446" t="n"/>
      <c r="J65" s="447" t="n"/>
      <c r="K65" s="448" t="n"/>
      <c r="L65" s="449" t="n"/>
      <c r="M65" s="446">
        <f>IF(Table14[[#This Row],[Progress %]]="","",Table14[[#This Row],[Progress %]]*Table14[[#This Row],[Value £]])</f>
        <v/>
      </c>
      <c r="N65" s="448" t="n"/>
    </row>
    <row r="66" ht="65.15000000000001" customFormat="1" customHeight="1" s="440">
      <c r="B66" s="441" t="n"/>
      <c r="C66" s="442">
        <f>IF(Table14[[#This Row],[Description]]="","",C65+1)</f>
        <v/>
      </c>
      <c r="D66" s="443" t="n"/>
      <c r="E66" s="444" t="n"/>
      <c r="F66" s="445" t="n"/>
      <c r="G66" s="445" t="n"/>
      <c r="H66" s="445" t="n"/>
      <c r="I66" s="446" t="n"/>
      <c r="J66" s="447" t="n"/>
      <c r="K66" s="448" t="n"/>
      <c r="L66" s="449" t="n"/>
      <c r="M66" s="446">
        <f>IF(Table14[[#This Row],[Progress %]]="","",Table14[[#This Row],[Progress %]]*Table14[[#This Row],[Value £]])</f>
        <v/>
      </c>
      <c r="N66" s="448" t="n"/>
    </row>
    <row r="67" ht="65.15000000000001" customFormat="1" customHeight="1" s="440">
      <c r="B67" s="441" t="n"/>
      <c r="C67" s="442">
        <f>IF(Table14[[#This Row],[Description]]="","",C66+1)</f>
        <v/>
      </c>
      <c r="D67" s="443" t="n"/>
      <c r="E67" s="444" t="n"/>
      <c r="F67" s="445" t="n"/>
      <c r="G67" s="445" t="n"/>
      <c r="H67" s="445" t="n"/>
      <c r="I67" s="446" t="n"/>
      <c r="J67" s="447" t="n"/>
      <c r="K67" s="448" t="n"/>
      <c r="L67" s="449" t="n"/>
      <c r="M67" s="446">
        <f>IF(Table14[[#This Row],[Progress %]]="","",Table14[[#This Row],[Progress %]]*Table14[[#This Row],[Value £]])</f>
        <v/>
      </c>
      <c r="N67" s="448" t="n"/>
    </row>
    <row r="68" ht="65.15000000000001" customFormat="1" customHeight="1" s="440">
      <c r="B68" s="441" t="n"/>
      <c r="C68" s="442">
        <f>IF(Table14[[#This Row],[Description]]="","",C67+1)</f>
        <v/>
      </c>
      <c r="D68" s="443" t="n"/>
      <c r="E68" s="444" t="n"/>
      <c r="F68" s="445" t="n"/>
      <c r="G68" s="445" t="n"/>
      <c r="H68" s="445" t="n"/>
      <c r="I68" s="446" t="n"/>
      <c r="J68" s="447" t="n"/>
      <c r="K68" s="448" t="n"/>
      <c r="L68" s="449" t="n"/>
      <c r="M68" s="446">
        <f>IF(Table14[[#This Row],[Progress %]]="","",Table14[[#This Row],[Progress %]]*Table14[[#This Row],[Value £]])</f>
        <v/>
      </c>
      <c r="N68" s="448" t="n"/>
    </row>
    <row r="69" ht="65.15000000000001" customFormat="1" customHeight="1" s="440">
      <c r="B69" s="441" t="n"/>
      <c r="C69" s="442">
        <f>IF(Table14[[#This Row],[Description]]="","",C68+1)</f>
        <v/>
      </c>
      <c r="D69" s="443" t="n"/>
      <c r="E69" s="444" t="n"/>
      <c r="F69" s="445" t="n"/>
      <c r="G69" s="445" t="n"/>
      <c r="H69" s="445" t="n"/>
      <c r="I69" s="446" t="n"/>
      <c r="J69" s="447" t="n"/>
      <c r="K69" s="455" t="n"/>
      <c r="L69" s="456" t="n"/>
      <c r="M69" s="457">
        <f>IF(Table14[[#This Row],[Progress %]]="","",Table14[[#This Row],[Progress %]]*Table14[[#This Row],[Value £]])</f>
        <v/>
      </c>
      <c r="N69" s="448" t="n"/>
    </row>
    <row r="70" ht="65.15000000000001" customFormat="1" customHeight="1" s="440">
      <c r="B70" s="441" t="n"/>
      <c r="C70" s="442">
        <f>IF(Table14[[#This Row],[Description]]="","",C69+1)</f>
        <v/>
      </c>
      <c r="D70" s="443" t="n"/>
      <c r="E70" s="444" t="n"/>
      <c r="F70" s="445" t="n"/>
      <c r="G70" s="445" t="n"/>
      <c r="H70" s="445" t="n"/>
      <c r="I70" s="446" t="n"/>
      <c r="J70" s="447" t="n"/>
      <c r="K70" s="448" t="n"/>
      <c r="L70" s="449" t="n"/>
      <c r="M70" s="446">
        <f>IF(Table14[[#This Row],[Progress %]]="","",Table14[[#This Row],[Progress %]]*Table14[[#This Row],[Value £]])</f>
        <v/>
      </c>
      <c r="N70" s="448" t="n"/>
    </row>
    <row r="71" ht="65.15000000000001" customFormat="1" customHeight="1" s="440">
      <c r="B71" s="441" t="n"/>
      <c r="C71" s="442">
        <f>IF(Table14[[#This Row],[Description]]="","",C70+1)</f>
        <v/>
      </c>
      <c r="D71" s="443" t="n"/>
      <c r="E71" s="444" t="n"/>
      <c r="F71" s="445" t="n"/>
      <c r="G71" s="445" t="n"/>
      <c r="H71" s="445" t="n"/>
      <c r="I71" s="446" t="n"/>
      <c r="J71" s="447" t="n"/>
      <c r="K71" s="448" t="n"/>
      <c r="L71" s="449" t="n"/>
      <c r="M71" s="446">
        <f>IF(Table14[[#This Row],[Progress %]]="","",Table14[[#This Row],[Progress %]]*Table14[[#This Row],[Value £]])</f>
        <v/>
      </c>
      <c r="N71" s="448" t="n"/>
    </row>
    <row r="72" ht="65.15000000000001" customFormat="1" customHeight="1" s="440">
      <c r="B72" s="441" t="n"/>
      <c r="C72" s="442">
        <f>IF(Table14[[#This Row],[Description]]="","",C71+1)</f>
        <v/>
      </c>
      <c r="D72" s="443" t="n"/>
      <c r="E72" s="444" t="n"/>
      <c r="F72" s="445" t="n"/>
      <c r="G72" s="445" t="n"/>
      <c r="H72" s="445" t="n"/>
      <c r="I72" s="446" t="n"/>
      <c r="J72" s="447" t="n"/>
      <c r="K72" s="448" t="n"/>
      <c r="L72" s="449" t="n"/>
      <c r="M72" s="446">
        <f>IF(Table14[[#This Row],[Progress %]]="","",Table14[[#This Row],[Progress %]]*Table14[[#This Row],[Value £]])</f>
        <v/>
      </c>
      <c r="N72" s="448" t="n"/>
    </row>
    <row r="73" ht="65.15000000000001" customFormat="1" customHeight="1" s="440">
      <c r="B73" s="441" t="n"/>
      <c r="C73" s="442">
        <f>IF(Table14[[#This Row],[Description]]="","",C72+1)</f>
        <v/>
      </c>
      <c r="D73" s="443" t="n"/>
      <c r="E73" s="458" t="n"/>
      <c r="F73" s="445" t="n"/>
      <c r="G73" s="445" t="n"/>
      <c r="H73" s="445" t="n"/>
      <c r="I73" s="446" t="n"/>
      <c r="J73" s="447" t="n"/>
      <c r="K73" s="455" t="n"/>
      <c r="L73" s="456" t="n"/>
      <c r="M73" s="457">
        <f>IF(Table14[[#This Row],[Progress %]]="","",Table14[[#This Row],[Progress %]]*Table14[[#This Row],[Value £]])</f>
        <v/>
      </c>
      <c r="N73" s="448" t="n"/>
    </row>
    <row r="74" ht="65.15000000000001" customFormat="1" customHeight="1" s="440">
      <c r="B74" s="441" t="n"/>
      <c r="C74" s="442">
        <f>IF(Table14[[#This Row],[Description]]="","",C73+1)</f>
        <v/>
      </c>
      <c r="D74" s="443" t="n"/>
      <c r="E74" s="444" t="n"/>
      <c r="F74" s="445" t="n"/>
      <c r="G74" s="445" t="n"/>
      <c r="H74" s="445" t="n"/>
      <c r="I74" s="446" t="n"/>
      <c r="J74" s="447" t="n"/>
      <c r="K74" s="448" t="n"/>
      <c r="L74" s="449" t="n"/>
      <c r="M74" s="446">
        <f>IF(Table14[[#This Row],[Progress %]]="","",Table14[[#This Row],[Progress %]]*Table14[[#This Row],[Value £]])</f>
        <v/>
      </c>
      <c r="N74" s="448" t="n"/>
    </row>
    <row r="75" ht="65.15000000000001" customFormat="1" customHeight="1" s="440">
      <c r="B75" s="441" t="n"/>
      <c r="C75" s="442">
        <f>IF(Table14[[#This Row],[Description]]="","",C74+1)</f>
        <v/>
      </c>
      <c r="D75" s="443" t="n"/>
      <c r="E75" s="444" t="n"/>
      <c r="F75" s="445" t="n"/>
      <c r="G75" s="445" t="n"/>
      <c r="H75" s="445" t="n"/>
      <c r="I75" s="446" t="n"/>
      <c r="J75" s="447" t="n"/>
      <c r="K75" s="448" t="n"/>
      <c r="L75" s="449" t="n"/>
      <c r="M75" s="446">
        <f>IF(Table14[[#This Row],[Progress %]]="","",Table14[[#This Row],[Progress %]]*Table14[[#This Row],[Value £]])</f>
        <v/>
      </c>
      <c r="N75" s="448" t="n"/>
    </row>
    <row r="76" ht="65.15000000000001" customFormat="1" customHeight="1" s="440">
      <c r="B76" s="441" t="n"/>
      <c r="C76" s="442">
        <f>IF(Table14[[#This Row],[Description]]="","",C75+1)</f>
        <v/>
      </c>
      <c r="D76" s="443" t="n"/>
      <c r="E76" s="444" t="n"/>
      <c r="F76" s="445" t="n"/>
      <c r="G76" s="445" t="n"/>
      <c r="H76" s="445" t="n"/>
      <c r="I76" s="446" t="n"/>
      <c r="J76" s="447" t="n"/>
      <c r="K76" s="448" t="n"/>
      <c r="L76" s="449" t="n"/>
      <c r="M76" s="446">
        <f>IF(Table14[[#This Row],[Progress %]]="","",Table14[[#This Row],[Progress %]]*Table14[[#This Row],[Value £]])</f>
        <v/>
      </c>
      <c r="N76" s="448" t="n"/>
    </row>
    <row r="77" ht="65.15000000000001" customFormat="1" customHeight="1" s="440">
      <c r="B77" s="441" t="n"/>
      <c r="C77" s="442">
        <f>IF(Table14[[#This Row],[Description]]="","",C76+1)</f>
        <v/>
      </c>
      <c r="D77" s="443" t="n"/>
      <c r="E77" s="444" t="n"/>
      <c r="F77" s="445" t="n"/>
      <c r="G77" s="445" t="n"/>
      <c r="H77" s="445" t="n"/>
      <c r="I77" s="446" t="n"/>
      <c r="J77" s="447" t="n"/>
      <c r="K77" s="448" t="n"/>
      <c r="L77" s="449" t="n"/>
      <c r="M77" s="446">
        <f>IF(Table14[[#This Row],[Progress %]]="","",Table14[[#This Row],[Progress %]]*Table14[[#This Row],[Value £]])</f>
        <v/>
      </c>
      <c r="N77" s="448" t="n"/>
    </row>
    <row r="78" ht="65.15000000000001" customFormat="1" customHeight="1" s="440">
      <c r="B78" s="441" t="n"/>
      <c r="C78" s="442">
        <f>IF(Table14[[#This Row],[Description]]="","",C77+1)</f>
        <v/>
      </c>
      <c r="D78" s="443" t="n"/>
      <c r="E78" s="444" t="n"/>
      <c r="F78" s="445" t="n"/>
      <c r="G78" s="445" t="n"/>
      <c r="H78" s="445" t="n"/>
      <c r="I78" s="446" t="n"/>
      <c r="J78" s="447" t="n"/>
      <c r="K78" s="448" t="n"/>
      <c r="L78" s="449" t="n"/>
      <c r="M78" s="446">
        <f>IF(Table14[[#This Row],[Progress %]]="","",Table14[[#This Row],[Progress %]]*Table14[[#This Row],[Value £]])</f>
        <v/>
      </c>
      <c r="N78" s="448" t="n"/>
    </row>
    <row r="79" ht="65.15000000000001" customFormat="1" customHeight="1" s="440">
      <c r="B79" s="441" t="n"/>
      <c r="C79" s="442">
        <f>IF(Table14[[#This Row],[Description]]="","",C78+1)</f>
        <v/>
      </c>
      <c r="D79" s="443" t="n"/>
      <c r="E79" s="444" t="n"/>
      <c r="F79" s="445" t="n"/>
      <c r="G79" s="445" t="n"/>
      <c r="H79" s="445" t="n"/>
      <c r="I79" s="446" t="n"/>
      <c r="J79" s="447" t="n"/>
      <c r="K79" s="448" t="n"/>
      <c r="L79" s="449" t="n"/>
      <c r="M79" s="446">
        <f>IF(Table14[[#This Row],[Progress %]]="","",Table14[[#This Row],[Progress %]]*Table14[[#This Row],[Value £]])</f>
        <v/>
      </c>
      <c r="N79" s="448" t="n"/>
    </row>
    <row r="80" ht="65.15000000000001" customFormat="1" customHeight="1" s="440">
      <c r="B80" s="441" t="n"/>
      <c r="C80" s="442">
        <f>IF(Table14[[#This Row],[Description]]="","",C79+1)</f>
        <v/>
      </c>
      <c r="D80" s="443" t="n"/>
      <c r="E80" s="444" t="n"/>
      <c r="F80" s="445" t="n"/>
      <c r="G80" s="445" t="n"/>
      <c r="H80" s="445" t="n"/>
      <c r="I80" s="446" t="n"/>
      <c r="J80" s="447" t="n"/>
      <c r="K80" s="448" t="n"/>
      <c r="L80" s="449" t="n"/>
      <c r="M80" s="446">
        <f>IF(Table14[[#This Row],[Progress %]]="","",Table14[[#This Row],[Progress %]]*Table14[[#This Row],[Value £]])</f>
        <v/>
      </c>
      <c r="N80" s="448" t="n"/>
    </row>
    <row r="81" ht="65.15000000000001" customFormat="1" customHeight="1" s="440">
      <c r="B81" s="441" t="n"/>
      <c r="C81" s="442">
        <f>IF(Table14[[#This Row],[Description]]="","",C80+1)</f>
        <v/>
      </c>
      <c r="D81" s="443" t="n"/>
      <c r="E81" s="444" t="n"/>
      <c r="F81" s="445" t="n"/>
      <c r="G81" s="445" t="n"/>
      <c r="H81" s="445" t="n"/>
      <c r="I81" s="446" t="n"/>
      <c r="J81" s="447" t="n"/>
      <c r="K81" s="448" t="n"/>
      <c r="L81" s="449" t="n"/>
      <c r="M81" s="446">
        <f>IF(Table14[[#This Row],[Progress %]]="","",Table14[[#This Row],[Progress %]]*Table14[[#This Row],[Value £]])</f>
        <v/>
      </c>
      <c r="N81" s="448" t="n"/>
    </row>
    <row r="82" ht="65.15000000000001" customFormat="1" customHeight="1" s="440">
      <c r="B82" s="441" t="n"/>
      <c r="C82" s="442">
        <f>IF(Table14[[#This Row],[Description]]="","",C81+1)</f>
        <v/>
      </c>
      <c r="D82" s="443" t="n"/>
      <c r="E82" s="444" t="n"/>
      <c r="F82" s="445" t="n"/>
      <c r="G82" s="445" t="n"/>
      <c r="H82" s="445" t="n"/>
      <c r="I82" s="446" t="n"/>
      <c r="J82" s="447" t="n"/>
      <c r="K82" s="448" t="n"/>
      <c r="L82" s="449" t="n"/>
      <c r="M82" s="446">
        <f>IF(Table14[[#This Row],[Progress %]]="","",Table14[[#This Row],[Progress %]]*Table14[[#This Row],[Value £]])</f>
        <v/>
      </c>
      <c r="N82" s="448" t="n"/>
    </row>
    <row r="83" ht="65.15000000000001" customFormat="1" customHeight="1" s="440">
      <c r="B83" s="441" t="n"/>
      <c r="C83" s="442">
        <f>IF(Table14[[#This Row],[Description]]="","",C82+1)</f>
        <v/>
      </c>
      <c r="D83" s="443" t="n"/>
      <c r="E83" s="444" t="n"/>
      <c r="F83" s="445" t="n"/>
      <c r="G83" s="445" t="n"/>
      <c r="H83" s="445" t="n"/>
      <c r="I83" s="446" t="n"/>
      <c r="J83" s="447" t="n"/>
      <c r="K83" s="448" t="n"/>
      <c r="L83" s="449" t="n"/>
      <c r="M83" s="446">
        <f>IF(Table14[[#This Row],[Progress %]]="","",Table14[[#This Row],[Progress %]]*Table14[[#This Row],[Value £]])</f>
        <v/>
      </c>
      <c r="N83" s="448" t="n"/>
    </row>
    <row r="84" ht="65.15000000000001" customFormat="1" customHeight="1" s="440">
      <c r="B84" s="441" t="n"/>
      <c r="C84" s="442">
        <f>IF(Table14[[#This Row],[Description]]="","",C83+1)</f>
        <v/>
      </c>
      <c r="D84" s="443" t="n"/>
      <c r="E84" s="444" t="n"/>
      <c r="F84" s="445" t="n"/>
      <c r="G84" s="445" t="n"/>
      <c r="H84" s="445" t="n"/>
      <c r="I84" s="446" t="n"/>
      <c r="J84" s="447" t="n"/>
      <c r="K84" s="448" t="n"/>
      <c r="L84" s="449" t="n"/>
      <c r="M84" s="446">
        <f>IF(Table14[[#This Row],[Progress %]]="","",Table14[[#This Row],[Progress %]]*Table14[[#This Row],[Value £]])</f>
        <v/>
      </c>
      <c r="N84" s="448" t="n"/>
    </row>
    <row r="85" ht="65.15000000000001" customFormat="1" customHeight="1" s="440">
      <c r="B85" s="441" t="n"/>
      <c r="C85" s="442">
        <f>IF(Table14[[#This Row],[Description]]="","",C84+1)</f>
        <v/>
      </c>
      <c r="D85" s="443" t="n"/>
      <c r="E85" s="444" t="n"/>
      <c r="F85" s="445" t="n"/>
      <c r="G85" s="445" t="n"/>
      <c r="H85" s="445" t="n"/>
      <c r="I85" s="446" t="n"/>
      <c r="J85" s="447" t="n"/>
      <c r="K85" s="448" t="n"/>
      <c r="L85" s="449" t="n"/>
      <c r="M85" s="446">
        <f>IF(Table14[[#This Row],[Progress %]]="","",Table14[[#This Row],[Progress %]]*Table14[[#This Row],[Value £]])</f>
        <v/>
      </c>
      <c r="N85" s="448" t="n"/>
    </row>
    <row r="86" ht="65.15000000000001" customFormat="1" customHeight="1" s="440">
      <c r="B86" s="441" t="n"/>
      <c r="C86" s="442">
        <f>IF(Table14[[#This Row],[Description]]="","",C85+1)</f>
        <v/>
      </c>
      <c r="D86" s="443" t="n"/>
      <c r="E86" s="444" t="n"/>
      <c r="F86" s="445" t="n"/>
      <c r="G86" s="445" t="n"/>
      <c r="H86" s="445" t="n"/>
      <c r="I86" s="446" t="n"/>
      <c r="J86" s="447" t="n"/>
      <c r="K86" s="448" t="n"/>
      <c r="L86" s="449" t="n"/>
      <c r="M86" s="446">
        <f>IF(Table14[[#This Row],[Progress %]]="","",Table14[[#This Row],[Progress %]]*Table14[[#This Row],[Value £]])</f>
        <v/>
      </c>
      <c r="N86" s="448" t="n"/>
    </row>
    <row r="87" ht="65.15000000000001" customFormat="1" customHeight="1" s="440">
      <c r="B87" s="441" t="n"/>
      <c r="C87" s="442">
        <f>IF(Table14[[#This Row],[Description]]="","",C86+1)</f>
        <v/>
      </c>
      <c r="D87" s="443" t="n"/>
      <c r="E87" s="444" t="n"/>
      <c r="F87" s="445" t="n"/>
      <c r="G87" s="445" t="n"/>
      <c r="H87" s="445" t="n"/>
      <c r="I87" s="446" t="n"/>
      <c r="J87" s="447" t="n"/>
      <c r="K87" s="448" t="n"/>
      <c r="L87" s="449" t="n"/>
      <c r="M87" s="446">
        <f>IF(Table14[[#This Row],[Progress %]]="","",Table14[[#This Row],[Progress %]]*Table14[[#This Row],[Value £]])</f>
        <v/>
      </c>
      <c r="N87" s="448" t="n"/>
    </row>
    <row r="88" ht="65.15000000000001" customFormat="1" customHeight="1" s="440">
      <c r="B88" s="441" t="n"/>
      <c r="C88" s="442">
        <f>IF(Table14[[#This Row],[Description]]="","",C87+1)</f>
        <v/>
      </c>
      <c r="D88" s="443" t="n"/>
      <c r="E88" s="444" t="n"/>
      <c r="F88" s="445" t="n"/>
      <c r="G88" s="445" t="n"/>
      <c r="H88" s="445" t="n"/>
      <c r="I88" s="446" t="n"/>
      <c r="J88" s="447" t="n"/>
      <c r="K88" s="448" t="n"/>
      <c r="L88" s="449" t="n"/>
      <c r="M88" s="446">
        <f>IF(Table14[[#This Row],[Progress %]]="","",Table14[[#This Row],[Progress %]]*Table14[[#This Row],[Value £]])</f>
        <v/>
      </c>
      <c r="N88" s="448" t="n"/>
    </row>
    <row r="89" ht="65.15000000000001" customFormat="1" customHeight="1" s="440">
      <c r="B89" s="459" t="n"/>
      <c r="C89" s="460">
        <f>IF(Table14[[#This Row],[Description]]="","",C88+1)</f>
        <v/>
      </c>
      <c r="D89" s="461" t="n"/>
      <c r="E89" s="462" t="n"/>
      <c r="F89" s="463" t="n"/>
      <c r="G89" s="463" t="n"/>
      <c r="H89" s="463" t="n"/>
      <c r="I89" s="464" t="n"/>
      <c r="J89" s="465" t="n"/>
      <c r="K89" s="466" t="n"/>
      <c r="L89" s="467" t="n"/>
      <c r="M89" s="464">
        <f>IF(Table14[[#This Row],[Progress %]]="","",Table14[[#This Row],[Progress %]]*Table14[[#This Row],[Value £]])</f>
        <v/>
      </c>
      <c r="N89" s="448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2024-11-14T10:44:49Z</dcterms:modified>
  <cp:revision>8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