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4.jpeg" ContentType="image/jpeg"/>
  <Override PartName="/xl/media/image5.png" ContentType="image/png"/>
  <Override PartName="/xl/media/image6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BoQ_Summary!$A$1:$K$26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<sst xmlns="http://schemas.openxmlformats.org/spreadsheetml/2006/main" count="316" uniqueCount="116">
  <si>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</si>
  <si>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</si>
  <si>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</si>
  <si>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</si>
  <si>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</si>
  <si>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</si>
  <si>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</si>
  <si>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</si>
  <si>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</si>
  <si>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</si>
  <si>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</si>
  <si>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</si>
  <si>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</si>
  <si>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</si>
  <si>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</si>
  <si>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</si>
  <si>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</si>
  <si>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</si>
  <si>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</si>
  <si>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</si>
  <si>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</si>
  <si>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</si>
  <si>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</si>
  <si>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</si>
  <si>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</si>
  <si>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</si>
  <si>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</si>
  <si>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</si>
  <si>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</si>
  <si>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</si>
  <si>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</si>
  <si>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</si>
  <si>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</si>
  <si>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</si>
  <si>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</si>
  <si>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</si>
  <si>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</si>
  <si>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</si>
  <si>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Steel</t>
  </si>
  <si>
    <t xml:space="preserve">Unit 2</t>
  </si>
  <si>
    <t xml:space="preserve">tn</t>
  </si>
  <si>
    <t xml:space="preserve">Galv</t>
  </si>
  <si>
    <t xml:space="preserve">Cold Rolled</t>
  </si>
  <si>
    <t xml:space="preserve">m</t>
  </si>
  <si>
    <t xml:space="preserve">Unit 3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</si>
  <si>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</si>
  <si>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</si>
  <si>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</si>
  <si>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</si>
  <si>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</si>
  <si>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</si>
  <si>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</si>
  <si>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</si>
  <si>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</si>
  <si>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</si>
  <si>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</si>
  <si>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</si>
  <si>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CHS139.7*5.0</t>
  </si>
  <si>
    <t xml:space="preserve">Beam</t>
  </si>
  <si>
    <t xml:space="preserve">tonne</t>
  </si>
  <si>
    <t xml:space="preserve">beams; member profile 50 - 100kg/m</t>
  </si>
  <si>
    <t xml:space="preserve">PFC-200*90*30</t>
  </si>
  <si>
    <t xml:space="preserve">stanchions; member profile 25 - 50kg/m</t>
  </si>
  <si>
    <t xml:space="preserve">SHS140*140*5.0</t>
  </si>
  <si>
    <t xml:space="preserve">SHS160*160*6.3</t>
  </si>
  <si>
    <t xml:space="preserve">SHS200*200*8.0</t>
  </si>
  <si>
    <t xml:space="preserve">UB203*133*25</t>
  </si>
  <si>
    <t xml:space="preserve">UB457*152*52</t>
  </si>
  <si>
    <t xml:space="preserve">Total Result</t>
  </si>
  <si>
    <t xml:space="preserve">CHS114.3*5.0</t>
  </si>
  <si>
    <t xml:space="preserve">Bracing</t>
  </si>
  <si>
    <t xml:space="preserve">CHS168.3*5.0</t>
  </si>
  <si>
    <t xml:space="preserve">Column</t>
  </si>
  <si>
    <t xml:space="preserve">UB356*171*45</t>
  </si>
  <si>
    <t xml:space="preserve">UB457*152*67</t>
  </si>
  <si>
    <t xml:space="preserve">UB356*127*33</t>
  </si>
  <si>
    <t xml:space="preserve">Purlin</t>
  </si>
  <si>
    <t xml:space="preserve">PFC-200*75*23</t>
  </si>
  <si>
    <t xml:space="preserve">SHS160*160*5.0</t>
  </si>
  <si>
    <t xml:space="preserve">UB305*165*46</t>
  </si>
  <si>
    <t xml:space="preserve">UB533*210*82</t>
  </si>
  <si>
    <t xml:space="preserve">SHS300*300*16.0</t>
  </si>
  <si>
    <t xml:space="preserve">UB686*254*125</t>
  </si>
  <si>
    <t xml:space="preserve">Door Frame</t>
  </si>
  <si>
    <t xml:space="preserve">Fittings</t>
  </si>
  <si>
    <t xml:space="preserve">Cold Rolled Supply &amp; Install</t>
  </si>
  <si>
    <t xml:space="preserve">202 C 18</t>
  </si>
  <si>
    <t xml:space="preserve">232 Z 16</t>
  </si>
  <si>
    <t xml:space="preserve">232 Z 23</t>
  </si>
  <si>
    <t xml:space="preserve">232 Z 18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</si>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</sst>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3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4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6" fontId="27" fillId="6" borderId="5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1" fillId="6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2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64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3" fontId="33" fillId="0" borderId="11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4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17" fillId="6" borderId="1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0" fillId="0" borderId="1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0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9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4" fillId="0" borderId="3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4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31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47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48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8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1" shrinkToFit="false"/>
      <protection locked="true" hidden="false"/>
    </xf>
    <xf numFmtId="164" fontId="15" fillId="0" borderId="32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7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83" fontId="49" fillId="0" borderId="3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3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3" shrinkToFit="false"/>
      <protection locked="true" hidden="false"/>
    </xf>
    <xf numFmtId="164" fontId="54" fillId="0" borderId="32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47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15" fillId="0" borderId="33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5" fontId="49" fillId="0" borderId="3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7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7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1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4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4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4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4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4.jpeg"/><Relationship Id="rId2" Type="http://schemas.openxmlformats.org/officeDocument/2006/relationships/image" Target="../media/image5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6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8</xdr:col>
      <xdr:colOff>1440</xdr:colOff>
      <xdr:row>5</xdr:row>
      <xdr:rowOff>95760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9000" y="164880"/>
          <a:ext cx="3823200" cy="1324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686160</xdr:colOff>
      <xdr:row>36</xdr:row>
      <xdr:rowOff>130320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5040" cy="10508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2774160</xdr:colOff>
      <xdr:row>4</xdr:row>
      <xdr:rowOff>411840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3400" cy="209052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Downloads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44.525" maxValue="1372.18636363636" count="33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46.989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1" maxValue="40" count="17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n v="40"/>
        <m/>
      </sharedItems>
    </cacheField>
    <cacheField name="QTY" numFmtId="0">
      <sharedItems containsString="0" containsBlank="1" containsNumber="1" minValue="0.21327" maxValue="1160" count="40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5.8795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MixedTypes="1" containsNumber="1" minValue="15.25" maxValue="4900" count="34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37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714.4545" maxValue="255083.791" count="41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3963.95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2"/>
    <x v="16"/>
    <x v="39"/>
    <x v="2"/>
    <x v="33"/>
    <x v="40"/>
  </r>
  <r>
    <x v="39"/>
    <x v="16"/>
    <x v="2"/>
    <x v="5"/>
    <x v="2"/>
    <x v="32"/>
    <x v="16"/>
    <x v="39"/>
    <x v="2"/>
    <x v="33"/>
    <x v="40"/>
  </r>
  <r>
    <x v="0"/>
    <x v="5"/>
    <x v="1"/>
    <x v="0"/>
    <x v="0"/>
    <x v="5"/>
    <x v="1"/>
    <x v="1"/>
    <x v="1"/>
    <x v="27"/>
    <x v="1"/>
  </r>
  <r>
    <x v="1"/>
    <x v="10"/>
    <x v="1"/>
    <x v="0"/>
    <x v="0"/>
    <x v="14"/>
    <x v="15"/>
    <x v="29"/>
    <x v="1"/>
    <x v="16"/>
    <x v="34"/>
  </r>
  <r>
    <x v="2"/>
    <x v="11"/>
    <x v="1"/>
    <x v="0"/>
    <x v="0"/>
    <x v="12"/>
    <x v="3"/>
    <x v="12"/>
    <x v="1"/>
    <x v="23"/>
    <x v="12"/>
  </r>
  <r>
    <x v="3"/>
    <x v="13"/>
    <x v="1"/>
    <x v="0"/>
    <x v="0"/>
    <x v="10"/>
    <x v="1"/>
    <x v="4"/>
    <x v="1"/>
    <x v="28"/>
    <x v="4"/>
  </r>
  <r>
    <x v="4"/>
    <x v="14"/>
    <x v="1"/>
    <x v="0"/>
    <x v="0"/>
    <x v="22"/>
    <x v="1"/>
    <x v="6"/>
    <x v="1"/>
    <x v="17"/>
    <x v="5"/>
  </r>
  <r>
    <x v="5"/>
    <x v="17"/>
    <x v="1"/>
    <x v="0"/>
    <x v="0"/>
    <x v="9"/>
    <x v="4"/>
    <x v="14"/>
    <x v="1"/>
    <x v="19"/>
    <x v="13"/>
  </r>
  <r>
    <x v="6"/>
    <x v="21"/>
    <x v="1"/>
    <x v="0"/>
    <x v="0"/>
    <x v="27"/>
    <x v="6"/>
    <x v="28"/>
    <x v="1"/>
    <x v="6"/>
    <x v="28"/>
  </r>
  <r>
    <x v="7"/>
    <x v="4"/>
    <x v="1"/>
    <x v="1"/>
    <x v="0"/>
    <x v="3"/>
    <x v="8"/>
    <x v="16"/>
    <x v="1"/>
    <x v="29"/>
    <x v="16"/>
  </r>
  <r>
    <x v="8"/>
    <x v="5"/>
    <x v="1"/>
    <x v="1"/>
    <x v="0"/>
    <x v="8"/>
    <x v="1"/>
    <x v="3"/>
    <x v="1"/>
    <x v="26"/>
    <x v="3"/>
  </r>
  <r>
    <x v="9"/>
    <x v="6"/>
    <x v="1"/>
    <x v="1"/>
    <x v="0"/>
    <x v="16"/>
    <x v="2"/>
    <x v="7"/>
    <x v="1"/>
    <x v="22"/>
    <x v="8"/>
  </r>
  <r>
    <x v="10"/>
    <x v="10"/>
    <x v="1"/>
    <x v="2"/>
    <x v="0"/>
    <x v="21"/>
    <x v="9"/>
    <x v="22"/>
    <x v="1"/>
    <x v="11"/>
    <x v="22"/>
  </r>
  <r>
    <x v="11"/>
    <x v="17"/>
    <x v="1"/>
    <x v="2"/>
    <x v="0"/>
    <x v="0"/>
    <x v="10"/>
    <x v="11"/>
    <x v="1"/>
    <x v="30"/>
    <x v="14"/>
  </r>
  <r>
    <x v="12"/>
    <x v="20"/>
    <x v="1"/>
    <x v="2"/>
    <x v="0"/>
    <x v="25"/>
    <x v="5"/>
    <x v="21"/>
    <x v="1"/>
    <x v="9"/>
    <x v="20"/>
  </r>
  <r>
    <x v="13"/>
    <x v="22"/>
    <x v="1"/>
    <x v="2"/>
    <x v="0"/>
    <x v="28"/>
    <x v="3"/>
    <x v="24"/>
    <x v="1"/>
    <x v="6"/>
    <x v="21"/>
  </r>
  <r>
    <x v="14"/>
    <x v="19"/>
    <x v="1"/>
    <x v="4"/>
    <x v="0"/>
    <x v="11"/>
    <x v="2"/>
    <x v="5"/>
    <x v="1"/>
    <x v="24"/>
    <x v="7"/>
  </r>
  <r>
    <x v="15"/>
    <x v="5"/>
    <x v="1"/>
    <x v="0"/>
    <x v="1"/>
    <x v="6"/>
    <x v="3"/>
    <x v="8"/>
    <x v="1"/>
    <x v="27"/>
    <x v="11"/>
  </r>
  <r>
    <x v="16"/>
    <x v="9"/>
    <x v="1"/>
    <x v="0"/>
    <x v="1"/>
    <x v="15"/>
    <x v="12"/>
    <x v="23"/>
    <x v="1"/>
    <x v="14"/>
    <x v="25"/>
  </r>
  <r>
    <x v="17"/>
    <x v="10"/>
    <x v="1"/>
    <x v="0"/>
    <x v="1"/>
    <x v="19"/>
    <x v="12"/>
    <x v="25"/>
    <x v="1"/>
    <x v="12"/>
    <x v="27"/>
  </r>
  <r>
    <x v="18"/>
    <x v="12"/>
    <x v="1"/>
    <x v="0"/>
    <x v="1"/>
    <x v="18"/>
    <x v="5"/>
    <x v="18"/>
    <x v="1"/>
    <x v="20"/>
    <x v="17"/>
  </r>
  <r>
    <x v="19"/>
    <x v="14"/>
    <x v="1"/>
    <x v="0"/>
    <x v="1"/>
    <x v="24"/>
    <x v="1"/>
    <x v="9"/>
    <x v="1"/>
    <x v="15"/>
    <x v="6"/>
  </r>
  <r>
    <x v="20"/>
    <x v="17"/>
    <x v="1"/>
    <x v="0"/>
    <x v="1"/>
    <x v="13"/>
    <x v="6"/>
    <x v="17"/>
    <x v="1"/>
    <x v="18"/>
    <x v="15"/>
  </r>
  <r>
    <x v="21"/>
    <x v="18"/>
    <x v="1"/>
    <x v="0"/>
    <x v="1"/>
    <x v="23"/>
    <x v="11"/>
    <x v="31"/>
    <x v="1"/>
    <x v="10"/>
    <x v="32"/>
  </r>
  <r>
    <x v="22"/>
    <x v="23"/>
    <x v="1"/>
    <x v="0"/>
    <x v="1"/>
    <x v="31"/>
    <x v="7"/>
    <x v="33"/>
    <x v="1"/>
    <x v="4"/>
    <x v="38"/>
  </r>
  <r>
    <x v="23"/>
    <x v="4"/>
    <x v="1"/>
    <x v="1"/>
    <x v="1"/>
    <x v="4"/>
    <x v="14"/>
    <x v="19"/>
    <x v="1"/>
    <x v="28"/>
    <x v="30"/>
  </r>
  <r>
    <x v="24"/>
    <x v="5"/>
    <x v="1"/>
    <x v="1"/>
    <x v="1"/>
    <x v="7"/>
    <x v="1"/>
    <x v="2"/>
    <x v="1"/>
    <x v="26"/>
    <x v="2"/>
  </r>
  <r>
    <x v="25"/>
    <x v="6"/>
    <x v="1"/>
    <x v="1"/>
    <x v="1"/>
    <x v="17"/>
    <x v="2"/>
    <x v="10"/>
    <x v="1"/>
    <x v="21"/>
    <x v="10"/>
  </r>
  <r>
    <x v="26"/>
    <x v="15"/>
    <x v="1"/>
    <x v="2"/>
    <x v="1"/>
    <x v="29"/>
    <x v="0"/>
    <x v="13"/>
    <x v="1"/>
    <x v="13"/>
    <x v="9"/>
  </r>
  <r>
    <x v="27"/>
    <x v="17"/>
    <x v="1"/>
    <x v="2"/>
    <x v="1"/>
    <x v="1"/>
    <x v="12"/>
    <x v="15"/>
    <x v="1"/>
    <x v="31"/>
    <x v="19"/>
  </r>
  <r>
    <x v="28"/>
    <x v="20"/>
    <x v="1"/>
    <x v="2"/>
    <x v="1"/>
    <x v="26"/>
    <x v="7"/>
    <x v="26"/>
    <x v="1"/>
    <x v="7"/>
    <x v="26"/>
  </r>
  <r>
    <x v="29"/>
    <x v="24"/>
    <x v="1"/>
    <x v="2"/>
    <x v="1"/>
    <x v="30"/>
    <x v="6"/>
    <x v="32"/>
    <x v="1"/>
    <x v="5"/>
    <x v="37"/>
  </r>
  <r>
    <x v="30"/>
    <x v="9"/>
    <x v="1"/>
    <x v="3"/>
    <x v="1"/>
    <x v="2"/>
    <x v="2"/>
    <x v="0"/>
    <x v="1"/>
    <x v="25"/>
    <x v="0"/>
  </r>
  <r>
    <x v="31"/>
    <x v="10"/>
    <x v="1"/>
    <x v="3"/>
    <x v="1"/>
    <x v="20"/>
    <x v="13"/>
    <x v="27"/>
    <x v="1"/>
    <x v="11"/>
    <x v="31"/>
  </r>
  <r>
    <x v="32"/>
    <x v="8"/>
    <x v="1"/>
    <x v="5"/>
    <x v="0"/>
    <x v="32"/>
    <x v="16"/>
    <x v="20"/>
    <x v="1"/>
    <x v="8"/>
    <x v="18"/>
  </r>
  <r>
    <x v="33"/>
    <x v="8"/>
    <x v="1"/>
    <x v="5"/>
    <x v="1"/>
    <x v="32"/>
    <x v="16"/>
    <x v="30"/>
    <x v="1"/>
    <x v="8"/>
    <x v="29"/>
  </r>
  <r>
    <x v="39"/>
    <x v="7"/>
    <x v="2"/>
    <x v="5"/>
    <x v="2"/>
    <x v="32"/>
    <x v="16"/>
    <x v="39"/>
    <x v="2"/>
    <x v="33"/>
    <x v="40"/>
  </r>
  <r>
    <x v="34"/>
    <x v="0"/>
    <x v="0"/>
    <x v="4"/>
    <x v="0"/>
    <x v="32"/>
    <x v="16"/>
    <x v="36"/>
    <x v="0"/>
    <x v="0"/>
    <x v="33"/>
  </r>
  <r>
    <x v="35"/>
    <x v="1"/>
    <x v="0"/>
    <x v="4"/>
    <x v="0"/>
    <x v="32"/>
    <x v="16"/>
    <x v="35"/>
    <x v="0"/>
    <x v="1"/>
    <x v="24"/>
  </r>
  <r>
    <x v="36"/>
    <x v="3"/>
    <x v="0"/>
    <x v="4"/>
    <x v="1"/>
    <x v="32"/>
    <x v="16"/>
    <x v="34"/>
    <x v="0"/>
    <x v="3"/>
    <x v="23"/>
  </r>
  <r>
    <x v="37"/>
    <x v="2"/>
    <x v="0"/>
    <x v="4"/>
    <x v="1"/>
    <x v="32"/>
    <x v="16"/>
    <x v="37"/>
    <x v="0"/>
    <x v="2"/>
    <x v="36"/>
  </r>
  <r>
    <x v="38"/>
    <x v="1"/>
    <x v="0"/>
    <x v="4"/>
    <x v="1"/>
    <x v="32"/>
    <x v="16"/>
    <x v="38"/>
    <x v="0"/>
    <x v="1"/>
    <x v="35"/>
  </r>
  <r>
    <x v="39"/>
    <x v="25"/>
    <x v="2"/>
    <x v="5"/>
    <x v="2"/>
    <x v="32"/>
    <x v="16"/>
    <x v="39"/>
    <x v="2"/>
    <x v="32"/>
    <x v="39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O11" firstHeaderRow="1" firstDataRow="1" firstDataCol="2"/>
  <pivotFields count="11">
    <pivotField compact="0" showAll="0"/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78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19" colorId="64" zoomScale="86" zoomScaleNormal="86" zoomScalePageLayoutView="86" workbookViewId="0">
      <selection pane="topLeft" activeCell="B2" activeCellId="1" sqref="17:17 B2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3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str">
        <f aca="false">BoQ_Summary!B5</f>
        <v>Steel</v>
      </c>
      <c r="D15" s="46"/>
      <c r="E15" s="47" t="n">
        <f aca="false">SUMIF(BoQ_Summary!B:B,'AFP Summary'!C15,BoQ_Summary!G:G)</f>
        <v>193128.791</v>
      </c>
      <c r="F15" s="48" t="n">
        <f aca="false">G15/E15</f>
        <v>0.341061312810683</v>
      </c>
      <c r="G15" s="47" t="n">
        <f aca="false">SUMIF(BoQ_Summary!B:B,'AFP Summary'!C15,BoQ_Summary!I:I)</f>
        <v>65868.759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str">
        <f aca="false">BoQ_Summary!B6</f>
        <v>Cold Rolled</v>
      </c>
      <c r="D16" s="52"/>
      <c r="E16" s="47" t="n">
        <f aca="false">SUMIF(BoQ_Summary!B:B,'AFP Summary'!C16,BoQ_Summary!G:G)</f>
        <v>61955</v>
      </c>
      <c r="F16" s="48" t="n">
        <f aca="false">G16/E16</f>
        <v>0.31191994189331</v>
      </c>
      <c r="G16" s="47" t="n">
        <f aca="false">SUMIF(BoQ_Summary!B:B,'AFP Summary'!C16,BoQ_Summary!I:I)</f>
        <v>19325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260083.791</v>
      </c>
      <c r="F24" s="69" t="s">
        <v>23</v>
      </c>
      <c r="G24" s="68" t="n">
        <f aca="false">SUM(G12:G23)</f>
        <v>85193.759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0.327562739194308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85193.759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85193.759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048576"/>
  <sheetViews>
    <sheetView showFormulas="false" showGridLines="false" showRowColHeaders="true" showZeros="true" rightToLeft="false" tabSelected="true" showOutlineSymbols="true" defaultGridColor="true" view="pageBreakPreview" topLeftCell="A16" colorId="64" zoomScale="90" zoomScaleNormal="100" zoomScalePageLayoutView="90" workbookViewId="0">
      <selection pane="topLeft" activeCell="A17" activeCellId="0" sqref="17:17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3"/>
    <col collapsed="false" customWidth="true" hidden="false" outlineLevel="0" max="5" min="4" style="87" width="16.83"/>
    <col collapsed="false" customWidth="true" hidden="false" outlineLevel="0" max="6" min="6" style="89" width="16.83"/>
    <col collapsed="false" customWidth="true" hidden="false" outlineLevel="0" max="7" min="7" style="90" width="16.83"/>
    <col collapsed="false" customWidth="true" hidden="false" outlineLevel="0" max="8" min="8" style="91" width="16.83"/>
    <col collapsed="false" customWidth="true" hidden="false" outlineLevel="0" max="9" min="9" style="90" width="16.83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3"/>
    <col collapsed="false" customWidth="false" hidden="false" outlineLevel="0" max="1024" min="17" style="87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4" t="s">
        <v>31</v>
      </c>
      <c r="E4" s="94" t="s">
        <v>32</v>
      </c>
      <c r="F4" s="95" t="s">
        <v>33</v>
      </c>
      <c r="G4" s="96" t="s">
        <v>34</v>
      </c>
      <c r="H4" s="97" t="s">
        <v>35</v>
      </c>
      <c r="I4" s="96" t="s">
        <v>36</v>
      </c>
      <c r="J4" s="96" t="s">
        <v>37</v>
      </c>
    </row>
    <row r="5" customFormat="false" ht="29.25" hidden="false" customHeight="true" outlineLevel="0" collapsed="false">
      <c r="B5" s="98" t="s">
        <v>38</v>
      </c>
      <c r="C5" s="99" t="s">
        <v>39</v>
      </c>
      <c r="D5" s="100" t="n">
        <f aca="false">SUMIFS(Table18[QTY],Table18[Zone],BoQ_Summary!C5,Table18[Cat],BoQ_Summary!B5)</f>
        <v>30.99362</v>
      </c>
      <c r="E5" s="101" t="s">
        <v>40</v>
      </c>
      <c r="F5" s="102" t="n">
        <f aca="false">G5/D5</f>
        <v>2125.23606471267</v>
      </c>
      <c r="G5" s="103" t="n">
        <f aca="false">SUMIFS(Table18[[Total ]],Table18[Zone],BoQ_Summary!C5,Table18[Cat],BoQ_Summary!B5)</f>
        <v>65868.759</v>
      </c>
      <c r="H5" s="104" t="n">
        <v>1</v>
      </c>
      <c r="I5" s="105" t="n">
        <f aca="false">IF(H5="","",H5*G5)</f>
        <v>65868.759</v>
      </c>
      <c r="J5" s="105"/>
      <c r="O5" s="106"/>
      <c r="Q5" s="87" t="s">
        <v>41</v>
      </c>
    </row>
    <row r="6" customFormat="false" ht="29.25" hidden="false" customHeight="true" outlineLevel="0" collapsed="false">
      <c r="B6" s="98" t="s">
        <v>42</v>
      </c>
      <c r="C6" s="99" t="s">
        <v>39</v>
      </c>
      <c r="D6" s="100" t="n">
        <f aca="false">SUMIFS(Table18[QTY],Table18[Zone],BoQ_Summary!C6,Table18[Cat],BoQ_Summary!B6)</f>
        <v>1260</v>
      </c>
      <c r="E6" s="101" t="s">
        <v>43</v>
      </c>
      <c r="F6" s="102" t="n">
        <f aca="false">G6/D6</f>
        <v>15.3373015873016</v>
      </c>
      <c r="G6" s="103" t="n">
        <f aca="false">SUMIFS(Table18[[Total ]],Table18[Zone],BoQ_Summary!C6,Table18[Cat],BoQ_Summary!B6)</f>
        <v>19325</v>
      </c>
      <c r="H6" s="104" t="n">
        <v>1</v>
      </c>
      <c r="I6" s="105" t="n">
        <f aca="false">IF(H6="","",H6*G6)</f>
        <v>19325</v>
      </c>
      <c r="J6" s="105"/>
      <c r="O6" s="106"/>
    </row>
    <row r="7" customFormat="false" ht="29.25" hidden="false" customHeight="true" outlineLevel="0" collapsed="false">
      <c r="B7" s="98" t="s">
        <v>38</v>
      </c>
      <c r="C7" s="99" t="s">
        <v>44</v>
      </c>
      <c r="D7" s="100" t="n">
        <f aca="false">SUMIFS(Table18[QTY],Table18[Zone],BoQ_Summary!C7,Table18[Cat],BoQ_Summary!B7)</f>
        <v>68.4745</v>
      </c>
      <c r="E7" s="101" t="s">
        <v>40</v>
      </c>
      <c r="F7" s="102" t="n">
        <f aca="false">G7/D7</f>
        <v>1858.50253744095</v>
      </c>
      <c r="G7" s="103" t="n">
        <f aca="false">SUMIFS(Table18[[Total ]],Table18[Zone],BoQ_Summary!C7,Table18[Cat],BoQ_Summary!B7)</f>
        <v>127260.032</v>
      </c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 t="s">
        <v>42</v>
      </c>
      <c r="C8" s="99" t="s">
        <v>44</v>
      </c>
      <c r="D8" s="100" t="n">
        <f aca="false">SUMIFS(Table18[QTY],Table18[Zone],BoQ_Summary!C8,Table18[Cat],BoQ_Summary!B8)</f>
        <v>2560</v>
      </c>
      <c r="E8" s="101" t="s">
        <v>43</v>
      </c>
      <c r="F8" s="102" t="n">
        <f aca="false">G8/D8</f>
        <v>16.65234375</v>
      </c>
      <c r="G8" s="103" t="n">
        <f aca="false">SUMIFS(Table18[[Total ]],Table18[Zone],BoQ_Summary!C8,Table18[Cat],BoQ_Summary!B8)</f>
        <v>42630</v>
      </c>
      <c r="H8" s="104"/>
      <c r="I8" s="105"/>
      <c r="J8" s="105"/>
      <c r="O8" s="106"/>
    </row>
    <row r="9" customFormat="false" ht="29.25" hidden="false" customHeight="true" outlineLevel="0" collapsed="false">
      <c r="B9" s="98"/>
      <c r="C9" s="99"/>
      <c r="D9" s="100"/>
      <c r="E9" s="101"/>
      <c r="F9" s="102"/>
      <c r="G9" s="103"/>
      <c r="H9" s="104"/>
      <c r="I9" s="105"/>
      <c r="J9" s="105"/>
      <c r="O9" s="106"/>
    </row>
    <row r="10" customFormat="false" ht="29.25" hidden="false" customHeight="true" outlineLevel="0" collapsed="false">
      <c r="B10" s="98"/>
      <c r="C10" s="99"/>
      <c r="D10" s="100"/>
      <c r="E10" s="101"/>
      <c r="F10" s="102"/>
      <c r="G10" s="103"/>
      <c r="H10" s="104"/>
      <c r="I10" s="105"/>
      <c r="J10" s="105"/>
      <c r="O10" s="106"/>
    </row>
    <row r="11" customFormat="false" ht="29.25" hidden="false" customHeight="true" outlineLevel="0" collapsed="false">
      <c r="B11" s="98"/>
      <c r="C11" s="99"/>
      <c r="D11" s="100"/>
      <c r="E11" s="101"/>
      <c r="F11" s="102"/>
      <c r="G11" s="103"/>
      <c r="H11" s="104"/>
      <c r="I11" s="105"/>
      <c r="J11" s="105"/>
      <c r="O11" s="106"/>
    </row>
    <row r="12" customFormat="false" ht="29.25" hidden="false" customHeight="true" outlineLevel="0" collapsed="false">
      <c r="B12" s="98"/>
      <c r="C12" s="99"/>
      <c r="D12" s="100"/>
      <c r="E12" s="101"/>
      <c r="F12" s="102"/>
      <c r="G12" s="103"/>
      <c r="H12" s="104"/>
      <c r="I12" s="105"/>
      <c r="J12" s="105"/>
      <c r="O12" s="106"/>
    </row>
    <row r="13" customFormat="false" ht="29.25" hidden="false" customHeight="true" outlineLevel="0" collapsed="false">
      <c r="B13" s="98"/>
      <c r="C13" s="99"/>
      <c r="D13" s="100"/>
      <c r="E13" s="101"/>
      <c r="F13" s="102"/>
      <c r="G13" s="103"/>
      <c r="H13" s="104"/>
      <c r="I13" s="105"/>
      <c r="J13" s="105"/>
      <c r="O13" s="106"/>
    </row>
    <row r="14" customFormat="false" ht="29.25" hidden="false" customHeight="true" outlineLevel="0" collapsed="false">
      <c r="B14" s="98"/>
      <c r="C14" s="99"/>
      <c r="D14" s="100"/>
      <c r="E14" s="101"/>
      <c r="F14" s="102"/>
      <c r="G14" s="103"/>
      <c r="H14" s="104"/>
      <c r="I14" s="105"/>
      <c r="J14" s="105"/>
      <c r="O14" s="106"/>
    </row>
    <row r="15" customFormat="false" ht="29.25" hidden="false" customHeight="true" outlineLevel="0" collapsed="false">
      <c r="B15" s="98"/>
      <c r="C15" s="99"/>
      <c r="D15" s="100"/>
      <c r="E15" s="101"/>
      <c r="F15" s="102"/>
      <c r="G15" s="103"/>
      <c r="H15" s="104"/>
      <c r="I15" s="105"/>
      <c r="J15" s="105"/>
      <c r="O15" s="106"/>
    </row>
    <row r="16" customFormat="false" ht="29.25" hidden="false" customHeight="true" outlineLevel="0" collapsed="false">
      <c r="B16" s="98"/>
      <c r="C16" s="99"/>
      <c r="D16" s="100"/>
      <c r="E16" s="101"/>
      <c r="F16" s="102"/>
      <c r="G16" s="103"/>
      <c r="H16" s="104"/>
      <c r="I16" s="105"/>
      <c r="J16" s="105"/>
      <c r="O16" s="106"/>
    </row>
    <row r="17" customFormat="false" ht="29.25" hidden="false" customHeight="true" outlineLevel="0" collapsed="false">
      <c r="B17" s="98"/>
      <c r="C17" s="99"/>
      <c r="D17" s="100"/>
      <c r="E17" s="101"/>
      <c r="F17" s="102"/>
      <c r="G17" s="103"/>
      <c r="H17" s="104"/>
      <c r="I17" s="105"/>
      <c r="J17" s="105"/>
      <c r="O17" s="106"/>
    </row>
    <row r="18" customFormat="false" ht="29.25" hidden="false" customHeight="true" outlineLevel="0" collapsed="false">
      <c r="B18" s="98"/>
      <c r="C18" s="99"/>
      <c r="D18" s="100"/>
      <c r="E18" s="101"/>
      <c r="F18" s="102"/>
      <c r="G18" s="103"/>
      <c r="H18" s="104"/>
      <c r="I18" s="105"/>
      <c r="J18" s="105"/>
      <c r="O18" s="106"/>
    </row>
    <row r="19" customFormat="false" ht="29.25" hidden="false" customHeight="true" outlineLevel="0" collapsed="false">
      <c r="B19" s="98"/>
      <c r="C19" s="99"/>
      <c r="D19" s="100"/>
      <c r="E19" s="101"/>
      <c r="F19" s="102"/>
      <c r="G19" s="103"/>
      <c r="H19" s="104"/>
      <c r="I19" s="105"/>
      <c r="J19" s="105"/>
      <c r="O19" s="106"/>
    </row>
    <row r="20" customFormat="false" ht="29.25" hidden="false" customHeight="true" outlineLevel="0" collapsed="false">
      <c r="B20" s="98"/>
      <c r="C20" s="99"/>
      <c r="D20" s="100"/>
      <c r="E20" s="101"/>
      <c r="F20" s="102"/>
      <c r="G20" s="103"/>
      <c r="H20" s="104"/>
      <c r="I20" s="105"/>
      <c r="J20" s="105"/>
      <c r="O20" s="106"/>
    </row>
    <row r="21" customFormat="false" ht="29.25" hidden="false" customHeight="true" outlineLevel="0" collapsed="false">
      <c r="B21" s="98"/>
      <c r="C21" s="99"/>
      <c r="D21" s="100"/>
      <c r="E21" s="101"/>
      <c r="F21" s="102"/>
      <c r="G21" s="103"/>
      <c r="H21" s="104"/>
      <c r="I21" s="105"/>
      <c r="J21" s="105"/>
      <c r="O21" s="106"/>
    </row>
    <row r="22" customFormat="false" ht="29.25" hidden="false" customHeight="true" outlineLevel="0" collapsed="false">
      <c r="B22" s="98"/>
      <c r="C22" s="99"/>
      <c r="D22" s="100"/>
      <c r="E22" s="101"/>
      <c r="F22" s="102"/>
      <c r="G22" s="103"/>
      <c r="H22" s="104"/>
      <c r="I22" s="105"/>
      <c r="J22" s="105"/>
      <c r="O22" s="106"/>
    </row>
    <row r="23" customFormat="false" ht="29.25" hidden="false" customHeight="true" outlineLevel="0" collapsed="false">
      <c r="B23" s="98"/>
      <c r="C23" s="99"/>
      <c r="D23" s="100"/>
      <c r="E23" s="101"/>
      <c r="F23" s="102"/>
      <c r="G23" s="103"/>
      <c r="H23" s="104"/>
      <c r="I23" s="105"/>
      <c r="J23" s="105"/>
      <c r="O23" s="106"/>
    </row>
    <row r="24" customFormat="false" ht="29.25" hidden="false" customHeight="true" outlineLevel="0" collapsed="false">
      <c r="B24" s="98"/>
      <c r="C24" s="99"/>
      <c r="D24" s="100"/>
      <c r="E24" s="101"/>
      <c r="F24" s="102"/>
      <c r="G24" s="103"/>
      <c r="H24" s="104"/>
      <c r="I24" s="105"/>
      <c r="J24" s="105"/>
      <c r="O24" s="106"/>
    </row>
    <row r="25" s="107" customFormat="true" ht="27" hidden="false" customHeight="true" outlineLevel="0" collapsed="false">
      <c r="B25" s="108"/>
      <c r="C25" s="108"/>
      <c r="D25" s="108"/>
      <c r="E25" s="108"/>
      <c r="F25" s="109"/>
      <c r="G25" s="110" t="n">
        <f aca="false">SUM(G5:G8)</f>
        <v>255083.791</v>
      </c>
      <c r="H25" s="111" t="n">
        <f aca="false">I25/G25</f>
        <v>0.333983428213986</v>
      </c>
      <c r="I25" s="110" t="n">
        <f aca="false">SUM(I5:I8)</f>
        <v>85193.759</v>
      </c>
      <c r="J25" s="110"/>
    </row>
    <row r="26" customFormat="false" ht="14" hidden="false" customHeight="false" outlineLevel="0" collapsed="false">
      <c r="G26" s="90" t="s">
        <v>25</v>
      </c>
    </row>
    <row r="29" customFormat="false" ht="14" hidden="false" customHeight="false" outlineLevel="0" collapsed="false">
      <c r="D29" s="87" t="s">
        <v>25</v>
      </c>
    </row>
    <row r="1048576" customFormat="false" ht="12.8" hidden="false" customHeight="false" outlineLevel="0" collapsed="false"/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false" showOutlineSymbols="true" defaultGridColor="true" view="pageBreakPreview" topLeftCell="A37" colorId="64" zoomScale="80" zoomScaleNormal="100" zoomScalePageLayoutView="80" workbookViewId="0">
      <selection pane="topLeft" activeCell="F33" activeCellId="1" sqref="17:17 F33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18"/>
    <col collapsed="false" customWidth="true" hidden="false" outlineLevel="0" max="3" min="3" style="114" width="13.45"/>
    <col collapsed="false" customWidth="true" hidden="false" outlineLevel="0" max="4" min="4" style="114" width="11.45"/>
    <col collapsed="false" customWidth="true" hidden="false" outlineLevel="0" max="5" min="5" style="114" width="11.54"/>
    <col collapsed="false" customWidth="true" hidden="false" outlineLevel="0" max="6" min="6" style="115" width="11.54"/>
    <col collapsed="false" customWidth="true" hidden="false" outlineLevel="0" max="7" min="7" style="114" width="8.64"/>
    <col collapsed="false" customWidth="true" hidden="false" outlineLevel="0" max="8" min="8" style="116" width="9.45"/>
    <col collapsed="false" customWidth="true" hidden="false" outlineLevel="0" max="9" min="9" style="117" width="9.18"/>
    <col collapsed="false" customWidth="true" hidden="false" outlineLevel="0" max="10" min="10" style="118" width="11.72"/>
    <col collapsed="false" customWidth="true" hidden="false" outlineLevel="0" max="11" min="11" style="118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5" customFormat="true" ht="26.5" hidden="false" customHeight="true" outlineLevel="0" collapsed="false">
      <c r="A2" s="120" t="s">
        <v>45</v>
      </c>
      <c r="B2" s="120" t="s">
        <v>30</v>
      </c>
      <c r="C2" s="120" t="s">
        <v>46</v>
      </c>
      <c r="D2" s="120" t="s">
        <v>47</v>
      </c>
      <c r="E2" s="120" t="s">
        <v>17</v>
      </c>
      <c r="F2" s="121" t="s">
        <v>48</v>
      </c>
      <c r="G2" s="122" t="s">
        <v>49</v>
      </c>
      <c r="H2" s="122" t="s">
        <v>31</v>
      </c>
      <c r="I2" s="123" t="s">
        <v>50</v>
      </c>
      <c r="J2" s="124" t="s">
        <v>51</v>
      </c>
      <c r="K2" s="124" t="s">
        <v>52</v>
      </c>
      <c r="O2" s="126"/>
    </row>
    <row r="3" s="134" customFormat="true" ht="10.5" hidden="false" customHeight="true" outlineLevel="0" collapsed="false">
      <c r="A3" s="127"/>
      <c r="B3" s="128"/>
      <c r="C3" s="128"/>
      <c r="D3" s="128"/>
      <c r="E3" s="129"/>
      <c r="F3" s="130"/>
      <c r="G3" s="131"/>
      <c r="H3" s="131"/>
      <c r="I3" s="132"/>
      <c r="J3" s="133"/>
      <c r="K3" s="133"/>
      <c r="BE3" s="135" t="s">
        <v>53</v>
      </c>
    </row>
    <row r="4" s="134" customFormat="true" ht="33" hidden="false" customHeight="true" outlineLevel="0" collapsed="false">
      <c r="A4" s="127"/>
      <c r="B4" s="136" t="s">
        <v>54</v>
      </c>
      <c r="C4" s="128"/>
      <c r="D4" s="128"/>
      <c r="E4" s="129"/>
      <c r="F4" s="130"/>
      <c r="G4" s="131"/>
      <c r="H4" s="131"/>
      <c r="I4" s="132"/>
      <c r="J4" s="133"/>
      <c r="K4" s="133"/>
      <c r="M4" s="137" t="s">
        <v>17</v>
      </c>
      <c r="N4" s="138" t="s">
        <v>46</v>
      </c>
      <c r="O4" s="139" t="s">
        <v>55</v>
      </c>
      <c r="BE4" s="135" t="s">
        <v>56</v>
      </c>
    </row>
    <row r="5" s="134" customFormat="true" ht="33" hidden="false" customHeight="true" outlineLevel="0" collapsed="false">
      <c r="A5" s="127" t="n">
        <v>1</v>
      </c>
      <c r="B5" s="128" t="s">
        <v>57</v>
      </c>
      <c r="C5" s="128" t="s">
        <v>38</v>
      </c>
      <c r="D5" s="128" t="s">
        <v>58</v>
      </c>
      <c r="E5" s="129" t="s">
        <v>39</v>
      </c>
      <c r="F5" s="130" t="n">
        <v>108.66</v>
      </c>
      <c r="G5" s="140" t="n">
        <v>2</v>
      </c>
      <c r="H5" s="131" t="n">
        <v>0.21732</v>
      </c>
      <c r="I5" s="132" t="s">
        <v>59</v>
      </c>
      <c r="J5" s="133" t="n">
        <v>3400</v>
      </c>
      <c r="K5" s="133" t="n">
        <v>738.888</v>
      </c>
      <c r="M5" s="141" t="s">
        <v>39</v>
      </c>
      <c r="N5" s="142"/>
      <c r="O5" s="143" t="n">
        <v>1290.99362</v>
      </c>
      <c r="BE5" s="135" t="s">
        <v>60</v>
      </c>
    </row>
    <row r="6" s="134" customFormat="true" ht="33" hidden="false" customHeight="true" outlineLevel="0" collapsed="false">
      <c r="A6" s="127" t="n">
        <v>2</v>
      </c>
      <c r="B6" s="128" t="s">
        <v>61</v>
      </c>
      <c r="C6" s="128" t="s">
        <v>38</v>
      </c>
      <c r="D6" s="128" t="s">
        <v>58</v>
      </c>
      <c r="E6" s="129" t="s">
        <v>39</v>
      </c>
      <c r="F6" s="130" t="n">
        <v>146.989</v>
      </c>
      <c r="G6" s="140" t="n">
        <v>40</v>
      </c>
      <c r="H6" s="131" t="n">
        <v>5.87956</v>
      </c>
      <c r="I6" s="132" t="s">
        <v>59</v>
      </c>
      <c r="J6" s="133" t="n">
        <v>2375</v>
      </c>
      <c r="K6" s="133" t="n">
        <v>13963.955</v>
      </c>
      <c r="M6" s="144"/>
      <c r="N6" s="145" t="s">
        <v>42</v>
      </c>
      <c r="O6" s="146" t="n">
        <v>1260</v>
      </c>
      <c r="BE6" s="135" t="s">
        <v>62</v>
      </c>
    </row>
    <row r="7" s="134" customFormat="true" ht="33" hidden="false" customHeight="true" outlineLevel="0" collapsed="false">
      <c r="A7" s="127" t="n">
        <v>3</v>
      </c>
      <c r="B7" s="128" t="s">
        <v>63</v>
      </c>
      <c r="C7" s="128" t="s">
        <v>38</v>
      </c>
      <c r="D7" s="128" t="s">
        <v>58</v>
      </c>
      <c r="E7" s="129" t="s">
        <v>39</v>
      </c>
      <c r="F7" s="130" t="n">
        <v>140.971666666667</v>
      </c>
      <c r="G7" s="140" t="n">
        <v>6</v>
      </c>
      <c r="H7" s="131" t="n">
        <v>0.84583</v>
      </c>
      <c r="I7" s="132" t="s">
        <v>59</v>
      </c>
      <c r="J7" s="133" t="n">
        <v>2975</v>
      </c>
      <c r="K7" s="133" t="n">
        <v>2516.34425</v>
      </c>
      <c r="M7" s="147"/>
      <c r="N7" s="148" t="s">
        <v>38</v>
      </c>
      <c r="O7" s="149" t="n">
        <v>30.99362</v>
      </c>
      <c r="BE7" s="135"/>
    </row>
    <row r="8" s="134" customFormat="true" ht="33" hidden="false" customHeight="true" outlineLevel="0" collapsed="false">
      <c r="A8" s="127" t="n">
        <v>4</v>
      </c>
      <c r="B8" s="128" t="s">
        <v>64</v>
      </c>
      <c r="C8" s="128" t="s">
        <v>38</v>
      </c>
      <c r="D8" s="128" t="s">
        <v>58</v>
      </c>
      <c r="E8" s="129" t="s">
        <v>39</v>
      </c>
      <c r="F8" s="130" t="n">
        <v>138.365</v>
      </c>
      <c r="G8" s="140" t="n">
        <v>2</v>
      </c>
      <c r="H8" s="131" t="n">
        <v>0.27673</v>
      </c>
      <c r="I8" s="132" t="s">
        <v>59</v>
      </c>
      <c r="J8" s="133" t="n">
        <v>3450</v>
      </c>
      <c r="K8" s="133" t="n">
        <v>954.7185</v>
      </c>
      <c r="M8" s="141" t="s">
        <v>44</v>
      </c>
      <c r="N8" s="142"/>
      <c r="O8" s="143" t="n">
        <v>2628.4745</v>
      </c>
      <c r="BE8" s="135"/>
    </row>
    <row r="9" s="134" customFormat="true" ht="33" hidden="false" customHeight="true" outlineLevel="0" collapsed="false">
      <c r="A9" s="127" t="n">
        <v>5</v>
      </c>
      <c r="B9" s="128" t="s">
        <v>65</v>
      </c>
      <c r="C9" s="128" t="s">
        <v>38</v>
      </c>
      <c r="D9" s="128" t="s">
        <v>58</v>
      </c>
      <c r="E9" s="129" t="s">
        <v>39</v>
      </c>
      <c r="F9" s="130" t="n">
        <v>303.93</v>
      </c>
      <c r="G9" s="140" t="n">
        <v>2</v>
      </c>
      <c r="H9" s="131" t="n">
        <v>0.60786</v>
      </c>
      <c r="I9" s="132" t="s">
        <v>59</v>
      </c>
      <c r="J9" s="133" t="n">
        <v>2450</v>
      </c>
      <c r="K9" s="133" t="n">
        <v>1489.257</v>
      </c>
      <c r="M9" s="144"/>
      <c r="N9" s="145" t="s">
        <v>42</v>
      </c>
      <c r="O9" s="146" t="n">
        <v>2560</v>
      </c>
      <c r="BE9" s="135"/>
    </row>
    <row r="10" s="134" customFormat="true" ht="33" hidden="false" customHeight="true" outlineLevel="0" collapsed="false">
      <c r="A10" s="127" t="n">
        <v>6</v>
      </c>
      <c r="B10" s="128" t="s">
        <v>66</v>
      </c>
      <c r="C10" s="128" t="s">
        <v>38</v>
      </c>
      <c r="D10" s="128" t="s">
        <v>58</v>
      </c>
      <c r="E10" s="129" t="s">
        <v>39</v>
      </c>
      <c r="F10" s="130" t="n">
        <v>136.925714285714</v>
      </c>
      <c r="G10" s="140" t="n">
        <v>7</v>
      </c>
      <c r="H10" s="131" t="n">
        <v>0.95848</v>
      </c>
      <c r="I10" s="132" t="s">
        <v>59</v>
      </c>
      <c r="J10" s="133" t="n">
        <v>2675</v>
      </c>
      <c r="K10" s="133" t="n">
        <v>2563.934</v>
      </c>
      <c r="M10" s="147"/>
      <c r="N10" s="148" t="s">
        <v>38</v>
      </c>
      <c r="O10" s="149" t="n">
        <v>68.4745</v>
      </c>
      <c r="BE10" s="135"/>
    </row>
    <row r="11" s="134" customFormat="true" ht="33" hidden="false" customHeight="true" outlineLevel="0" collapsed="false">
      <c r="A11" s="127" t="n">
        <v>7</v>
      </c>
      <c r="B11" s="128" t="s">
        <v>67</v>
      </c>
      <c r="C11" s="128" t="s">
        <v>38</v>
      </c>
      <c r="D11" s="128" t="s">
        <v>58</v>
      </c>
      <c r="E11" s="129" t="s">
        <v>39</v>
      </c>
      <c r="F11" s="130" t="n">
        <v>572.566</v>
      </c>
      <c r="G11" s="140" t="n">
        <v>10</v>
      </c>
      <c r="H11" s="131" t="n">
        <v>5.72566</v>
      </c>
      <c r="I11" s="132" t="s">
        <v>59</v>
      </c>
      <c r="J11" s="133" t="n">
        <v>1600</v>
      </c>
      <c r="K11" s="133" t="n">
        <v>9161.056</v>
      </c>
      <c r="M11" s="150" t="s">
        <v>68</v>
      </c>
      <c r="N11" s="151"/>
      <c r="O11" s="152" t="n">
        <v>3919.46812</v>
      </c>
      <c r="BE11" s="135"/>
    </row>
    <row r="12" s="134" customFormat="true" ht="33" hidden="false" customHeight="true" outlineLevel="0" collapsed="false">
      <c r="A12" s="127" t="n">
        <v>8</v>
      </c>
      <c r="B12" s="128" t="s">
        <v>69</v>
      </c>
      <c r="C12" s="128" t="s">
        <v>38</v>
      </c>
      <c r="D12" s="128" t="s">
        <v>70</v>
      </c>
      <c r="E12" s="129" t="s">
        <v>39</v>
      </c>
      <c r="F12" s="130" t="n">
        <v>101.130833333333</v>
      </c>
      <c r="G12" s="140" t="n">
        <v>12</v>
      </c>
      <c r="H12" s="131" t="n">
        <v>1.21357</v>
      </c>
      <c r="I12" s="132" t="s">
        <v>59</v>
      </c>
      <c r="J12" s="133" t="n">
        <v>3475</v>
      </c>
      <c r="K12" s="133" t="n">
        <v>4217.15575</v>
      </c>
      <c r="BE12" s="135"/>
    </row>
    <row r="13" s="134" customFormat="true" ht="33" hidden="false" customHeight="true" outlineLevel="0" collapsed="false">
      <c r="A13" s="127" t="n">
        <v>9</v>
      </c>
      <c r="B13" s="128" t="s">
        <v>57</v>
      </c>
      <c r="C13" s="128" t="s">
        <v>38</v>
      </c>
      <c r="D13" s="128" t="s">
        <v>70</v>
      </c>
      <c r="E13" s="129" t="s">
        <v>39</v>
      </c>
      <c r="F13" s="130" t="n">
        <v>110.155</v>
      </c>
      <c r="G13" s="140" t="n">
        <v>2</v>
      </c>
      <c r="H13" s="131" t="n">
        <v>0.22031</v>
      </c>
      <c r="I13" s="132" t="s">
        <v>59</v>
      </c>
      <c r="J13" s="133" t="n">
        <v>3375</v>
      </c>
      <c r="K13" s="133" t="n">
        <v>743.54625</v>
      </c>
      <c r="BE13" s="135"/>
    </row>
    <row r="14" s="134" customFormat="true" ht="33" hidden="false" customHeight="true" outlineLevel="0" collapsed="false">
      <c r="A14" s="127" t="n">
        <v>10</v>
      </c>
      <c r="B14" s="128" t="s">
        <v>71</v>
      </c>
      <c r="C14" s="128" t="s">
        <v>38</v>
      </c>
      <c r="D14" s="128" t="s">
        <v>70</v>
      </c>
      <c r="E14" s="129" t="s">
        <v>39</v>
      </c>
      <c r="F14" s="130" t="n">
        <v>159.8775</v>
      </c>
      <c r="G14" s="140" t="n">
        <v>4</v>
      </c>
      <c r="H14" s="131" t="n">
        <v>0.63951</v>
      </c>
      <c r="I14" s="132" t="s">
        <v>59</v>
      </c>
      <c r="J14" s="133" t="n">
        <v>2950</v>
      </c>
      <c r="K14" s="133" t="n">
        <v>1886.5545</v>
      </c>
      <c r="BE14" s="135"/>
    </row>
    <row r="15" s="134" customFormat="true" ht="33" hidden="false" customHeight="true" outlineLevel="0" collapsed="false">
      <c r="A15" s="127" t="n">
        <v>11</v>
      </c>
      <c r="B15" s="128" t="s">
        <v>61</v>
      </c>
      <c r="C15" s="128" t="s">
        <v>38</v>
      </c>
      <c r="D15" s="128" t="s">
        <v>72</v>
      </c>
      <c r="E15" s="129" t="s">
        <v>39</v>
      </c>
      <c r="F15" s="130" t="n">
        <v>230.924285714286</v>
      </c>
      <c r="G15" s="140" t="n">
        <v>14</v>
      </c>
      <c r="H15" s="131" t="n">
        <v>3.23294</v>
      </c>
      <c r="I15" s="132" t="s">
        <v>59</v>
      </c>
      <c r="J15" s="133" t="n">
        <v>1875</v>
      </c>
      <c r="K15" s="133" t="n">
        <v>6061.7625</v>
      </c>
      <c r="BE15" s="135"/>
    </row>
    <row r="16" s="134" customFormat="true" ht="33" hidden="false" customHeight="true" outlineLevel="0" collapsed="false">
      <c r="A16" s="127" t="n">
        <v>12</v>
      </c>
      <c r="B16" s="128" t="s">
        <v>66</v>
      </c>
      <c r="C16" s="128" t="s">
        <v>38</v>
      </c>
      <c r="D16" s="128" t="s">
        <v>72</v>
      </c>
      <c r="E16" s="129" t="s">
        <v>39</v>
      </c>
      <c r="F16" s="130" t="n">
        <v>44.525</v>
      </c>
      <c r="G16" s="140" t="n">
        <v>18</v>
      </c>
      <c r="H16" s="131" t="n">
        <v>0.80145</v>
      </c>
      <c r="I16" s="132" t="s">
        <v>59</v>
      </c>
      <c r="J16" s="133" t="n">
        <v>4600</v>
      </c>
      <c r="K16" s="133" t="n">
        <v>3686.67</v>
      </c>
      <c r="BE16" s="135"/>
    </row>
    <row r="17" s="134" customFormat="true" ht="33" hidden="false" customHeight="true" outlineLevel="0" collapsed="false">
      <c r="A17" s="127" t="n">
        <v>13</v>
      </c>
      <c r="B17" s="128" t="s">
        <v>73</v>
      </c>
      <c r="C17" s="128" t="s">
        <v>38</v>
      </c>
      <c r="D17" s="128" t="s">
        <v>72</v>
      </c>
      <c r="E17" s="129" t="s">
        <v>39</v>
      </c>
      <c r="F17" s="130" t="n">
        <v>398.7225</v>
      </c>
      <c r="G17" s="140" t="n">
        <v>8</v>
      </c>
      <c r="H17" s="131" t="n">
        <v>3.18978</v>
      </c>
      <c r="I17" s="132" t="s">
        <v>59</v>
      </c>
      <c r="J17" s="133" t="n">
        <v>1700</v>
      </c>
      <c r="K17" s="133" t="n">
        <v>5422.626</v>
      </c>
      <c r="BE17" s="135"/>
    </row>
    <row r="18" s="134" customFormat="true" ht="33" hidden="false" customHeight="true" outlineLevel="0" collapsed="false">
      <c r="A18" s="127" t="n">
        <v>14</v>
      </c>
      <c r="B18" s="128" t="s">
        <v>74</v>
      </c>
      <c r="C18" s="128" t="s">
        <v>38</v>
      </c>
      <c r="D18" s="128" t="s">
        <v>72</v>
      </c>
      <c r="E18" s="129" t="s">
        <v>39</v>
      </c>
      <c r="F18" s="130" t="n">
        <v>605.131666666667</v>
      </c>
      <c r="G18" s="140" t="n">
        <v>6</v>
      </c>
      <c r="H18" s="131" t="n">
        <v>3.63079</v>
      </c>
      <c r="I18" s="132" t="s">
        <v>59</v>
      </c>
      <c r="J18" s="133" t="n">
        <v>1600</v>
      </c>
      <c r="K18" s="133" t="n">
        <v>5809.264</v>
      </c>
      <c r="BE18" s="135"/>
    </row>
    <row r="19" s="134" customFormat="true" ht="33" hidden="false" customHeight="true" outlineLevel="0" collapsed="false">
      <c r="A19" s="127" t="n">
        <v>15</v>
      </c>
      <c r="B19" s="128" t="s">
        <v>75</v>
      </c>
      <c r="C19" s="128" t="s">
        <v>38</v>
      </c>
      <c r="D19" s="128" t="s">
        <v>76</v>
      </c>
      <c r="E19" s="129" t="s">
        <v>39</v>
      </c>
      <c r="F19" s="130" t="n">
        <v>138.4575</v>
      </c>
      <c r="G19" s="140" t="n">
        <v>4</v>
      </c>
      <c r="H19" s="131" t="n">
        <v>0.55383</v>
      </c>
      <c r="I19" s="132" t="s">
        <v>59</v>
      </c>
      <c r="J19" s="133" t="n">
        <v>3075</v>
      </c>
      <c r="K19" s="133" t="n">
        <v>1703.02725</v>
      </c>
      <c r="BE19" s="135"/>
    </row>
    <row r="20" s="134" customFormat="true" ht="33" hidden="false" customHeight="true" outlineLevel="0" collapsed="false">
      <c r="A20" s="127" t="n">
        <v>16</v>
      </c>
      <c r="B20" s="128" t="s">
        <v>57</v>
      </c>
      <c r="C20" s="128" t="s">
        <v>38</v>
      </c>
      <c r="D20" s="128" t="s">
        <v>58</v>
      </c>
      <c r="E20" s="129" t="s">
        <v>44</v>
      </c>
      <c r="F20" s="130" t="n">
        <v>109.071666666667</v>
      </c>
      <c r="G20" s="140" t="n">
        <v>6</v>
      </c>
      <c r="H20" s="131" t="n">
        <v>0.65443</v>
      </c>
      <c r="I20" s="132" t="s">
        <v>59</v>
      </c>
      <c r="J20" s="133" t="n">
        <v>3400</v>
      </c>
      <c r="K20" s="133" t="n">
        <v>2225.062</v>
      </c>
      <c r="BE20" s="135"/>
    </row>
    <row r="21" s="134" customFormat="true" ht="33" hidden="false" customHeight="true" outlineLevel="0" collapsed="false">
      <c r="A21" s="127" t="n">
        <v>17</v>
      </c>
      <c r="B21" s="128" t="s">
        <v>77</v>
      </c>
      <c r="C21" s="128" t="s">
        <v>38</v>
      </c>
      <c r="D21" s="128" t="s">
        <v>58</v>
      </c>
      <c r="E21" s="129" t="s">
        <v>44</v>
      </c>
      <c r="F21" s="130" t="n">
        <v>156.344090909091</v>
      </c>
      <c r="G21" s="140" t="n">
        <v>22</v>
      </c>
      <c r="H21" s="131" t="n">
        <v>3.43957</v>
      </c>
      <c r="I21" s="132" t="s">
        <v>59</v>
      </c>
      <c r="J21" s="133" t="n">
        <v>2225</v>
      </c>
      <c r="K21" s="133" t="n">
        <v>7653.04325</v>
      </c>
      <c r="BE21" s="135"/>
    </row>
    <row r="22" s="134" customFormat="true" ht="33" hidden="false" customHeight="true" outlineLevel="0" collapsed="false">
      <c r="A22" s="127" t="n">
        <v>18</v>
      </c>
      <c r="B22" s="128" t="s">
        <v>61</v>
      </c>
      <c r="C22" s="128" t="s">
        <v>38</v>
      </c>
      <c r="D22" s="128" t="s">
        <v>58</v>
      </c>
      <c r="E22" s="129" t="s">
        <v>44</v>
      </c>
      <c r="F22" s="130" t="n">
        <v>197.634090909091</v>
      </c>
      <c r="G22" s="140" t="n">
        <v>22</v>
      </c>
      <c r="H22" s="131" t="n">
        <v>4.34795</v>
      </c>
      <c r="I22" s="132" t="s">
        <v>59</v>
      </c>
      <c r="J22" s="133" t="n">
        <v>2025</v>
      </c>
      <c r="K22" s="133" t="n">
        <v>8804.59875</v>
      </c>
      <c r="M22" s="153"/>
      <c r="N22" s="154"/>
      <c r="O22" s="119"/>
      <c r="BE22" s="135"/>
    </row>
    <row r="23" s="134" customFormat="true" ht="33" hidden="false" customHeight="true" outlineLevel="0" collapsed="false">
      <c r="A23" s="127" t="n">
        <v>19</v>
      </c>
      <c r="B23" s="128" t="s">
        <v>78</v>
      </c>
      <c r="C23" s="128" t="s">
        <v>38</v>
      </c>
      <c r="D23" s="128" t="s">
        <v>58</v>
      </c>
      <c r="E23" s="129" t="s">
        <v>44</v>
      </c>
      <c r="F23" s="130" t="n">
        <v>194.68</v>
      </c>
      <c r="G23" s="140" t="n">
        <v>8</v>
      </c>
      <c r="H23" s="131" t="n">
        <v>1.55744</v>
      </c>
      <c r="I23" s="132" t="s">
        <v>59</v>
      </c>
      <c r="J23" s="133" t="n">
        <v>2775</v>
      </c>
      <c r="K23" s="133" t="n">
        <v>4321.896</v>
      </c>
      <c r="O23" s="119"/>
      <c r="BE23" s="135"/>
    </row>
    <row r="24" s="134" customFormat="true" ht="33" hidden="false" customHeight="true" outlineLevel="0" collapsed="false">
      <c r="A24" s="127" t="n">
        <v>20</v>
      </c>
      <c r="B24" s="128" t="s">
        <v>65</v>
      </c>
      <c r="C24" s="128" t="s">
        <v>38</v>
      </c>
      <c r="D24" s="128" t="s">
        <v>58</v>
      </c>
      <c r="E24" s="129" t="s">
        <v>44</v>
      </c>
      <c r="F24" s="130" t="n">
        <v>346.885</v>
      </c>
      <c r="G24" s="140" t="n">
        <v>2</v>
      </c>
      <c r="H24" s="131" t="n">
        <v>0.69377</v>
      </c>
      <c r="I24" s="132" t="s">
        <v>59</v>
      </c>
      <c r="J24" s="133" t="n">
        <v>2325</v>
      </c>
      <c r="K24" s="133" t="n">
        <v>1613.01525</v>
      </c>
      <c r="O24" s="119"/>
      <c r="BE24" s="135"/>
    </row>
    <row r="25" s="134" customFormat="true" ht="33" hidden="false" customHeight="true" outlineLevel="0" collapsed="false">
      <c r="A25" s="127" t="n">
        <v>21</v>
      </c>
      <c r="B25" s="128" t="s">
        <v>66</v>
      </c>
      <c r="C25" s="128" t="s">
        <v>38</v>
      </c>
      <c r="D25" s="128" t="s">
        <v>58</v>
      </c>
      <c r="E25" s="129" t="s">
        <v>44</v>
      </c>
      <c r="F25" s="130" t="n">
        <v>144.977</v>
      </c>
      <c r="G25" s="140" t="n">
        <v>10</v>
      </c>
      <c r="H25" s="131" t="n">
        <v>1.44977</v>
      </c>
      <c r="I25" s="132" t="s">
        <v>59</v>
      </c>
      <c r="J25" s="133" t="n">
        <v>2575</v>
      </c>
      <c r="K25" s="133" t="n">
        <v>3733.15775</v>
      </c>
      <c r="O25" s="119"/>
      <c r="BE25" s="135"/>
    </row>
    <row r="26" s="134" customFormat="true" ht="33" hidden="false" customHeight="true" outlineLevel="0" collapsed="false">
      <c r="A26" s="127" t="n">
        <v>22</v>
      </c>
      <c r="B26" s="128" t="s">
        <v>79</v>
      </c>
      <c r="C26" s="128" t="s">
        <v>38</v>
      </c>
      <c r="D26" s="128" t="s">
        <v>58</v>
      </c>
      <c r="E26" s="129" t="s">
        <v>44</v>
      </c>
      <c r="F26" s="130" t="n">
        <v>345.964</v>
      </c>
      <c r="G26" s="140" t="n">
        <v>20</v>
      </c>
      <c r="H26" s="131" t="n">
        <v>6.91928</v>
      </c>
      <c r="I26" s="132" t="s">
        <v>59</v>
      </c>
      <c r="J26" s="133" t="n">
        <v>1800</v>
      </c>
      <c r="K26" s="133" t="n">
        <v>12454.704</v>
      </c>
      <c r="O26" s="119"/>
      <c r="BE26" s="135"/>
    </row>
    <row r="27" s="134" customFormat="true" ht="33" hidden="false" customHeight="true" outlineLevel="0" collapsed="false">
      <c r="A27" s="127" t="n">
        <v>23</v>
      </c>
      <c r="B27" s="128" t="s">
        <v>80</v>
      </c>
      <c r="C27" s="128" t="s">
        <v>38</v>
      </c>
      <c r="D27" s="128" t="s">
        <v>58</v>
      </c>
      <c r="E27" s="129" t="s">
        <v>44</v>
      </c>
      <c r="F27" s="130" t="n">
        <v>1372.18636363636</v>
      </c>
      <c r="G27" s="140" t="n">
        <v>11</v>
      </c>
      <c r="H27" s="131" t="n">
        <v>15.09405</v>
      </c>
      <c r="I27" s="132" t="s">
        <v>59</v>
      </c>
      <c r="J27" s="133" t="n">
        <v>1250</v>
      </c>
      <c r="K27" s="133" t="n">
        <v>18867.5625</v>
      </c>
      <c r="O27" s="119"/>
      <c r="BE27" s="135"/>
    </row>
    <row r="28" s="134" customFormat="true" ht="33" hidden="false" customHeight="true" outlineLevel="0" collapsed="false">
      <c r="A28" s="127" t="n">
        <v>24</v>
      </c>
      <c r="B28" s="128" t="s">
        <v>69</v>
      </c>
      <c r="C28" s="128" t="s">
        <v>38</v>
      </c>
      <c r="D28" s="128" t="s">
        <v>70</v>
      </c>
      <c r="E28" s="129" t="s">
        <v>44</v>
      </c>
      <c r="F28" s="130" t="n">
        <v>102.875357142857</v>
      </c>
      <c r="G28" s="140" t="n">
        <v>28</v>
      </c>
      <c r="H28" s="131" t="n">
        <v>2.88051</v>
      </c>
      <c r="I28" s="132" t="s">
        <v>59</v>
      </c>
      <c r="J28" s="133" t="n">
        <v>3450</v>
      </c>
      <c r="K28" s="133" t="n">
        <v>9937.7595</v>
      </c>
      <c r="O28" s="119"/>
      <c r="BE28" s="135"/>
    </row>
    <row r="29" s="134" customFormat="true" ht="33" hidden="false" customHeight="true" outlineLevel="0" collapsed="false">
      <c r="A29" s="127" t="n">
        <v>25</v>
      </c>
      <c r="B29" s="128" t="s">
        <v>57</v>
      </c>
      <c r="C29" s="128" t="s">
        <v>38</v>
      </c>
      <c r="D29" s="128" t="s">
        <v>70</v>
      </c>
      <c r="E29" s="129" t="s">
        <v>44</v>
      </c>
      <c r="F29" s="130" t="n">
        <v>109.795</v>
      </c>
      <c r="G29" s="140" t="n">
        <v>2</v>
      </c>
      <c r="H29" s="131" t="n">
        <v>0.21959</v>
      </c>
      <c r="I29" s="132" t="s">
        <v>59</v>
      </c>
      <c r="J29" s="133" t="n">
        <v>3375</v>
      </c>
      <c r="K29" s="133" t="n">
        <v>741.11625</v>
      </c>
      <c r="O29" s="119"/>
      <c r="BE29" s="135"/>
    </row>
    <row r="30" s="134" customFormat="true" ht="33" hidden="false" customHeight="true" outlineLevel="0" collapsed="false">
      <c r="A30" s="127" t="n">
        <v>26</v>
      </c>
      <c r="B30" s="128" t="s">
        <v>71</v>
      </c>
      <c r="C30" s="128" t="s">
        <v>38</v>
      </c>
      <c r="D30" s="128" t="s">
        <v>70</v>
      </c>
      <c r="E30" s="129" t="s">
        <v>44</v>
      </c>
      <c r="F30" s="130" t="n">
        <v>179.215</v>
      </c>
      <c r="G30" s="140" t="n">
        <v>4</v>
      </c>
      <c r="H30" s="131" t="n">
        <v>0.71686</v>
      </c>
      <c r="I30" s="132" t="s">
        <v>59</v>
      </c>
      <c r="J30" s="133" t="n">
        <v>2800</v>
      </c>
      <c r="K30" s="133" t="n">
        <v>2007.208</v>
      </c>
      <c r="O30" s="119"/>
      <c r="BE30" s="135"/>
    </row>
    <row r="31" s="134" customFormat="true" ht="33" hidden="false" customHeight="true" outlineLevel="0" collapsed="false">
      <c r="A31" s="127" t="n">
        <v>27</v>
      </c>
      <c r="B31" s="128" t="s">
        <v>81</v>
      </c>
      <c r="C31" s="128" t="s">
        <v>38</v>
      </c>
      <c r="D31" s="128" t="s">
        <v>72</v>
      </c>
      <c r="E31" s="129" t="s">
        <v>44</v>
      </c>
      <c r="F31" s="130" t="n">
        <v>906.44</v>
      </c>
      <c r="G31" s="140" t="n">
        <v>1</v>
      </c>
      <c r="H31" s="131" t="n">
        <v>0.90644</v>
      </c>
      <c r="I31" s="132" t="s">
        <v>59</v>
      </c>
      <c r="J31" s="133" t="n">
        <v>2150</v>
      </c>
      <c r="K31" s="133" t="n">
        <v>1948.846</v>
      </c>
      <c r="O31" s="119"/>
      <c r="BE31" s="135"/>
    </row>
    <row r="32" s="134" customFormat="true" ht="33" hidden="false" customHeight="true" outlineLevel="0" collapsed="false">
      <c r="A32" s="127" t="n">
        <v>28</v>
      </c>
      <c r="B32" s="128" t="s">
        <v>66</v>
      </c>
      <c r="C32" s="128" t="s">
        <v>38</v>
      </c>
      <c r="D32" s="128" t="s">
        <v>72</v>
      </c>
      <c r="E32" s="129" t="s">
        <v>44</v>
      </c>
      <c r="F32" s="130" t="n">
        <v>49.4118181818182</v>
      </c>
      <c r="G32" s="140" t="n">
        <v>22</v>
      </c>
      <c r="H32" s="131" t="n">
        <v>1.08706</v>
      </c>
      <c r="I32" s="132" t="s">
        <v>59</v>
      </c>
      <c r="J32" s="133" t="n">
        <v>4900</v>
      </c>
      <c r="K32" s="133" t="n">
        <v>5326.594</v>
      </c>
      <c r="O32" s="119"/>
      <c r="BE32" s="135"/>
    </row>
    <row r="33" s="134" customFormat="true" ht="33" hidden="false" customHeight="true" outlineLevel="0" collapsed="false">
      <c r="A33" s="127" t="n">
        <v>29</v>
      </c>
      <c r="B33" s="128" t="s">
        <v>73</v>
      </c>
      <c r="C33" s="128" t="s">
        <v>38</v>
      </c>
      <c r="D33" s="128" t="s">
        <v>72</v>
      </c>
      <c r="E33" s="129" t="s">
        <v>44</v>
      </c>
      <c r="F33" s="130" t="n">
        <v>440.978181818182</v>
      </c>
      <c r="G33" s="140" t="n">
        <v>11</v>
      </c>
      <c r="H33" s="131" t="n">
        <v>4.85076</v>
      </c>
      <c r="I33" s="132" t="s">
        <v>59</v>
      </c>
      <c r="J33" s="133" t="n">
        <v>1625</v>
      </c>
      <c r="K33" s="133" t="n">
        <v>7882.485</v>
      </c>
      <c r="O33" s="119"/>
      <c r="BE33" s="135"/>
    </row>
    <row r="34" s="134" customFormat="true" ht="33" hidden="false" customHeight="true" outlineLevel="0" collapsed="false">
      <c r="A34" s="127" t="n">
        <v>30</v>
      </c>
      <c r="B34" s="128" t="s">
        <v>82</v>
      </c>
      <c r="C34" s="128" t="s">
        <v>38</v>
      </c>
      <c r="D34" s="128" t="s">
        <v>72</v>
      </c>
      <c r="E34" s="129" t="s">
        <v>44</v>
      </c>
      <c r="F34" s="130" t="n">
        <v>1192.834</v>
      </c>
      <c r="G34" s="140" t="n">
        <v>10</v>
      </c>
      <c r="H34" s="131" t="n">
        <v>11.92834</v>
      </c>
      <c r="I34" s="132" t="s">
        <v>59</v>
      </c>
      <c r="J34" s="133" t="n">
        <v>1575</v>
      </c>
      <c r="K34" s="133" t="n">
        <v>18787.1355</v>
      </c>
      <c r="O34" s="119"/>
      <c r="BE34" s="135"/>
    </row>
    <row r="35" s="134" customFormat="true" ht="33" hidden="false" customHeight="true" outlineLevel="0" collapsed="false">
      <c r="A35" s="127" t="n">
        <v>31</v>
      </c>
      <c r="B35" s="128" t="s">
        <v>77</v>
      </c>
      <c r="C35" s="128" t="s">
        <v>38</v>
      </c>
      <c r="D35" s="128" t="s">
        <v>83</v>
      </c>
      <c r="E35" s="129" t="s">
        <v>44</v>
      </c>
      <c r="F35" s="130" t="n">
        <v>53.3175</v>
      </c>
      <c r="G35" s="140" t="n">
        <v>4</v>
      </c>
      <c r="H35" s="131" t="n">
        <v>0.21327</v>
      </c>
      <c r="I35" s="132" t="s">
        <v>59</v>
      </c>
      <c r="J35" s="133" t="n">
        <v>3350</v>
      </c>
      <c r="K35" s="133" t="n">
        <v>714.4545</v>
      </c>
      <c r="O35" s="119"/>
      <c r="BE35" s="135"/>
    </row>
    <row r="36" s="134" customFormat="true" ht="33" hidden="false" customHeight="true" outlineLevel="0" collapsed="false">
      <c r="A36" s="127" t="n">
        <v>32</v>
      </c>
      <c r="B36" s="128" t="s">
        <v>61</v>
      </c>
      <c r="C36" s="128" t="s">
        <v>38</v>
      </c>
      <c r="D36" s="128" t="s">
        <v>83</v>
      </c>
      <c r="E36" s="129" t="s">
        <v>44</v>
      </c>
      <c r="F36" s="130" t="n">
        <v>229.80875</v>
      </c>
      <c r="G36" s="140" t="n">
        <v>24</v>
      </c>
      <c r="H36" s="131" t="n">
        <v>5.51541</v>
      </c>
      <c r="I36" s="132" t="s">
        <v>59</v>
      </c>
      <c r="J36" s="133" t="n">
        <v>1875</v>
      </c>
      <c r="K36" s="133" t="n">
        <v>10341.39375</v>
      </c>
      <c r="O36" s="119"/>
      <c r="BE36" s="135"/>
    </row>
    <row r="37" s="134" customFormat="true" ht="33" hidden="false" customHeight="true" outlineLevel="0" collapsed="false">
      <c r="A37" s="127" t="n">
        <v>33</v>
      </c>
      <c r="B37" s="128" t="s">
        <v>84</v>
      </c>
      <c r="C37" s="128" t="s">
        <v>38</v>
      </c>
      <c r="D37" s="128"/>
      <c r="E37" s="129" t="s">
        <v>39</v>
      </c>
      <c r="F37" s="130"/>
      <c r="G37" s="140"/>
      <c r="H37" s="131" t="n">
        <v>3</v>
      </c>
      <c r="I37" s="132" t="s">
        <v>59</v>
      </c>
      <c r="J37" s="133" t="n">
        <v>1650</v>
      </c>
      <c r="K37" s="133" t="n">
        <f aca="false">Table18[[#This Row],[Rate ]]*Table18[[#This Row],[QTY]]</f>
        <v>4950</v>
      </c>
      <c r="O37" s="119"/>
      <c r="BE37" s="135"/>
    </row>
    <row r="38" s="134" customFormat="true" ht="33" hidden="false" customHeight="true" outlineLevel="0" collapsed="false">
      <c r="A38" s="127" t="n">
        <v>34</v>
      </c>
      <c r="B38" s="128" t="s">
        <v>84</v>
      </c>
      <c r="C38" s="128" t="s">
        <v>38</v>
      </c>
      <c r="D38" s="128"/>
      <c r="E38" s="129" t="s">
        <v>44</v>
      </c>
      <c r="F38" s="130"/>
      <c r="G38" s="140"/>
      <c r="H38" s="131" t="n">
        <v>6</v>
      </c>
      <c r="I38" s="132" t="s">
        <v>59</v>
      </c>
      <c r="J38" s="133" t="n">
        <v>1650</v>
      </c>
      <c r="K38" s="133" t="n">
        <f aca="false">Table18[[#This Row],[Rate ]]*Table18[[#This Row],[QTY]]</f>
        <v>9900</v>
      </c>
      <c r="O38" s="119"/>
      <c r="BE38" s="135"/>
    </row>
    <row r="39" s="134" customFormat="true" ht="33" hidden="false" customHeight="true" outlineLevel="0" collapsed="false">
      <c r="A39" s="127"/>
      <c r="B39" s="136" t="s">
        <v>85</v>
      </c>
      <c r="C39" s="128"/>
      <c r="D39" s="128"/>
      <c r="E39" s="129"/>
      <c r="F39" s="130"/>
      <c r="G39" s="140"/>
      <c r="H39" s="131"/>
      <c r="I39" s="132"/>
      <c r="J39" s="133"/>
      <c r="K39" s="133"/>
      <c r="O39" s="119"/>
      <c r="BE39" s="135"/>
    </row>
    <row r="40" s="134" customFormat="true" ht="33" hidden="false" customHeight="true" outlineLevel="0" collapsed="false">
      <c r="A40" s="127" t="n">
        <v>35</v>
      </c>
      <c r="B40" s="128" t="s">
        <v>86</v>
      </c>
      <c r="C40" s="128" t="s">
        <v>42</v>
      </c>
      <c r="D40" s="128" t="s">
        <v>76</v>
      </c>
      <c r="E40" s="129" t="s">
        <v>39</v>
      </c>
      <c r="F40" s="130"/>
      <c r="G40" s="140"/>
      <c r="H40" s="131" t="n">
        <v>820</v>
      </c>
      <c r="I40" s="132" t="s">
        <v>43</v>
      </c>
      <c r="J40" s="133" t="n">
        <v>15.25</v>
      </c>
      <c r="K40" s="133" t="n">
        <v>12505</v>
      </c>
      <c r="O40" s="119"/>
      <c r="BE40" s="135"/>
    </row>
    <row r="41" s="134" customFormat="true" ht="33" hidden="false" customHeight="true" outlineLevel="0" collapsed="false">
      <c r="A41" s="127" t="n">
        <v>36</v>
      </c>
      <c r="B41" s="128" t="s">
        <v>87</v>
      </c>
      <c r="C41" s="128" t="s">
        <v>42</v>
      </c>
      <c r="D41" s="128" t="s">
        <v>76</v>
      </c>
      <c r="E41" s="129" t="s">
        <v>39</v>
      </c>
      <c r="F41" s="130"/>
      <c r="G41" s="140"/>
      <c r="H41" s="131" t="n">
        <v>440</v>
      </c>
      <c r="I41" s="132" t="s">
        <v>43</v>
      </c>
      <c r="J41" s="133" t="n">
        <v>15.5</v>
      </c>
      <c r="K41" s="133" t="n">
        <v>6820</v>
      </c>
      <c r="O41" s="119"/>
      <c r="BE41" s="135"/>
    </row>
    <row r="42" s="134" customFormat="true" ht="33" hidden="false" customHeight="true" outlineLevel="0" collapsed="false">
      <c r="A42" s="127" t="n">
        <v>37</v>
      </c>
      <c r="B42" s="128" t="s">
        <v>88</v>
      </c>
      <c r="C42" s="128" t="s">
        <v>42</v>
      </c>
      <c r="D42" s="128" t="s">
        <v>76</v>
      </c>
      <c r="E42" s="129" t="s">
        <v>44</v>
      </c>
      <c r="F42" s="130"/>
      <c r="G42" s="140"/>
      <c r="H42" s="131" t="n">
        <v>320</v>
      </c>
      <c r="I42" s="132" t="s">
        <v>43</v>
      </c>
      <c r="J42" s="133" t="n">
        <v>20.5</v>
      </c>
      <c r="K42" s="133" t="n">
        <v>6560</v>
      </c>
      <c r="O42" s="119"/>
      <c r="BE42" s="135"/>
    </row>
    <row r="43" s="134" customFormat="true" ht="33" hidden="false" customHeight="true" outlineLevel="0" collapsed="false">
      <c r="A43" s="127" t="n">
        <v>38</v>
      </c>
      <c r="B43" s="128" t="s">
        <v>89</v>
      </c>
      <c r="C43" s="128" t="s">
        <v>42</v>
      </c>
      <c r="D43" s="128" t="s">
        <v>76</v>
      </c>
      <c r="E43" s="129" t="s">
        <v>44</v>
      </c>
      <c r="F43" s="130"/>
      <c r="G43" s="140"/>
      <c r="H43" s="131" t="n">
        <v>1080</v>
      </c>
      <c r="I43" s="132" t="s">
        <v>43</v>
      </c>
      <c r="J43" s="133" t="n">
        <v>16.75</v>
      </c>
      <c r="K43" s="133" t="n">
        <v>18090</v>
      </c>
      <c r="O43" s="119"/>
      <c r="BE43" s="135"/>
    </row>
    <row r="44" s="134" customFormat="true" ht="33" hidden="false" customHeight="true" outlineLevel="0" collapsed="false">
      <c r="A44" s="127" t="n">
        <v>39</v>
      </c>
      <c r="B44" s="128" t="s">
        <v>87</v>
      </c>
      <c r="C44" s="128" t="s">
        <v>42</v>
      </c>
      <c r="D44" s="128" t="s">
        <v>76</v>
      </c>
      <c r="E44" s="129" t="s">
        <v>44</v>
      </c>
      <c r="F44" s="130"/>
      <c r="G44" s="140"/>
      <c r="H44" s="131" t="n">
        <v>1160</v>
      </c>
      <c r="I44" s="132" t="s">
        <v>43</v>
      </c>
      <c r="J44" s="133" t="n">
        <v>15.5</v>
      </c>
      <c r="K44" s="133" t="n">
        <v>17980</v>
      </c>
      <c r="O44" s="119"/>
      <c r="BE44" s="135"/>
    </row>
    <row r="45" s="163" customFormat="true" ht="33" hidden="false" customHeight="true" outlineLevel="0" collapsed="false">
      <c r="A45" s="155"/>
      <c r="B45" s="156"/>
      <c r="C45" s="156"/>
      <c r="D45" s="156"/>
      <c r="E45" s="157"/>
      <c r="F45" s="158"/>
      <c r="G45" s="159"/>
      <c r="H45" s="160"/>
      <c r="I45" s="161"/>
      <c r="J45" s="162" t="s">
        <v>90</v>
      </c>
      <c r="K45" s="162" t="n">
        <v>255083.791</v>
      </c>
      <c r="O45" s="164"/>
      <c r="BE45" s="16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6" colorId="64" zoomScale="30" zoomScaleNormal="40" zoomScalePageLayoutView="30" workbookViewId="0">
      <selection pane="topLeft" activeCell="F16" activeCellId="1" sqref="17:17 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6" width="6"/>
    <col collapsed="false" customWidth="true" hidden="false" outlineLevel="0" max="2" min="2" style="167" width="21.55"/>
    <col collapsed="false" customWidth="true" hidden="false" outlineLevel="0" max="3" min="3" style="168" width="21.55"/>
    <col collapsed="false" customWidth="true" hidden="false" outlineLevel="0" max="4" min="4" style="166" width="184.81"/>
    <col collapsed="false" customWidth="true" hidden="false" outlineLevel="0" max="5" min="5" style="169" width="36.54"/>
    <col collapsed="false" customWidth="true" hidden="false" outlineLevel="0" max="8" min="6" style="170" width="32"/>
    <col collapsed="false" customWidth="true" hidden="false" outlineLevel="0" max="9" min="9" style="170" width="28.81"/>
    <col collapsed="false" customWidth="true" hidden="false" outlineLevel="0" max="10" min="10" style="169" width="39"/>
    <col collapsed="false" customWidth="true" hidden="false" outlineLevel="0" max="11" min="11" style="171" width="69.46"/>
    <col collapsed="false" customWidth="true" hidden="false" outlineLevel="0" max="12" min="12" style="172" width="38.82"/>
    <col collapsed="false" customWidth="true" hidden="false" outlineLevel="0" max="13" min="13" style="173" width="33.73"/>
    <col collapsed="false" customWidth="true" hidden="false" outlineLevel="0" max="14" min="14" style="173" width="42.27"/>
    <col collapsed="false" customWidth="true" hidden="false" outlineLevel="0" max="15" min="15" style="166" width="36.18"/>
    <col collapsed="false" customWidth="false" hidden="false" outlineLevel="0" max="33" min="16" style="166" width="8.82"/>
    <col collapsed="false" customWidth="true" hidden="false" outlineLevel="0" max="34" min="34" style="166" width="19.83"/>
    <col collapsed="false" customWidth="true" hidden="false" outlineLevel="0" max="35" min="35" style="166" width="9.45"/>
    <col collapsed="false" customWidth="false" hidden="false" outlineLevel="0" max="1024" min="36" style="166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4" t="s">
        <v>6</v>
      </c>
      <c r="J2" s="174"/>
      <c r="K2" s="174" t="str">
        <f aca="false">'AFP Summary'!H8</f>
        <v>Doncaster Unit 02 &amp; 03</v>
      </c>
      <c r="L2" s="175"/>
    </row>
    <row r="3" customFormat="false" ht="48.65" hidden="false" customHeight="true" outlineLevel="0" collapsed="false">
      <c r="I3" s="176" t="s">
        <v>5</v>
      </c>
      <c r="J3" s="177"/>
      <c r="K3" s="178" t="str">
        <f aca="false">'AFP Summary'!B9</f>
        <v>Fit Out (UK) Ltd</v>
      </c>
      <c r="L3" s="179"/>
    </row>
    <row r="4" customFormat="false" ht="48.65" hidden="false" customHeight="true" outlineLevel="0" collapsed="false">
      <c r="E4" s="169" t="s">
        <v>25</v>
      </c>
      <c r="I4" s="176" t="s">
        <v>91</v>
      </c>
      <c r="J4" s="180"/>
      <c r="K4" s="181" t="n">
        <f aca="false">SUM(Table14[Value £])</f>
        <v>5000</v>
      </c>
      <c r="L4" s="179"/>
    </row>
    <row r="5" customFormat="false" ht="48.65" hidden="false" customHeight="true" outlineLevel="0" collapsed="false">
      <c r="C5" s="182"/>
      <c r="I5" s="176" t="s">
        <v>92</v>
      </c>
      <c r="J5" s="180"/>
      <c r="K5" s="181" t="n">
        <f aca="false">SUMIF(Table14[Status],"Agreed",Table14[Value £])</f>
        <v>0</v>
      </c>
      <c r="L5" s="179"/>
    </row>
    <row r="6" customFormat="false" ht="48.65" hidden="false" customHeight="true" outlineLevel="0" collapsed="false">
      <c r="C6" s="183" t="s">
        <v>93</v>
      </c>
      <c r="I6" s="176" t="s">
        <v>94</v>
      </c>
      <c r="J6" s="180"/>
      <c r="K6" s="181" t="n">
        <f aca="false">K4-K5</f>
        <v>5000</v>
      </c>
      <c r="L6" s="179"/>
    </row>
    <row r="7" customFormat="false" ht="48.65" hidden="false" customHeight="true" outlineLevel="0" collapsed="false">
      <c r="C7" s="183"/>
      <c r="I7" s="176" t="s">
        <v>95</v>
      </c>
      <c r="J7" s="180"/>
      <c r="K7" s="181" t="n">
        <f aca="false">SUM(M14:M91)</f>
        <v>0</v>
      </c>
      <c r="L7" s="179"/>
    </row>
    <row r="8" customFormat="false" ht="48.65" hidden="false" customHeight="true" outlineLevel="0" collapsed="false">
      <c r="C8" s="184" t="s">
        <v>1</v>
      </c>
      <c r="D8" s="185"/>
      <c r="I8" s="176" t="s">
        <v>96</v>
      </c>
      <c r="J8" s="180"/>
      <c r="K8" s="186" t="n">
        <f aca="false">IFERROR(K5/K4,"")</f>
        <v>0</v>
      </c>
      <c r="L8" s="179"/>
    </row>
    <row r="9" s="187" customFormat="true" ht="48.65" hidden="false" customHeight="true" outlineLevel="0" collapsed="false">
      <c r="B9" s="188"/>
      <c r="C9" s="189" t="s">
        <v>2</v>
      </c>
      <c r="D9" s="185"/>
      <c r="E9" s="190"/>
      <c r="F9" s="191"/>
      <c r="G9" s="191"/>
      <c r="H9" s="191"/>
      <c r="I9" s="176" t="s">
        <v>97</v>
      </c>
      <c r="J9" s="180"/>
      <c r="K9" s="192" t="n">
        <f aca="false">COUNT(Table14[[ VO]])</f>
        <v>2</v>
      </c>
      <c r="L9" s="179"/>
      <c r="M9" s="193"/>
      <c r="N9" s="193"/>
    </row>
    <row r="10" s="187" customFormat="true" ht="48.65" hidden="false" customHeight="true" outlineLevel="0" collapsed="false">
      <c r="B10" s="188"/>
      <c r="C10" s="194" t="s">
        <v>3</v>
      </c>
      <c r="D10" s="194"/>
      <c r="E10" s="190"/>
      <c r="F10" s="191"/>
      <c r="G10" s="191"/>
      <c r="H10" s="191"/>
      <c r="I10" s="176" t="s">
        <v>98</v>
      </c>
      <c r="J10" s="195"/>
      <c r="K10" s="192" t="n">
        <f aca="false">COUNTIF(Table14[Status],"Agreed")</f>
        <v>1</v>
      </c>
      <c r="L10" s="179"/>
      <c r="M10" s="193"/>
      <c r="N10" s="193"/>
    </row>
    <row r="11" s="187" customFormat="true" ht="48.65" hidden="false" customHeight="true" outlineLevel="0" collapsed="false">
      <c r="C11" s="189" t="s">
        <v>4</v>
      </c>
      <c r="D11" s="185"/>
      <c r="E11" s="190"/>
      <c r="F11" s="191"/>
      <c r="G11" s="191"/>
      <c r="H11" s="191"/>
      <c r="I11" s="196" t="s">
        <v>99</v>
      </c>
      <c r="J11" s="197"/>
      <c r="K11" s="198" t="n">
        <f aca="false">COUNTIF(Table14[Value £],"tbc")</f>
        <v>1</v>
      </c>
      <c r="L11" s="179"/>
      <c r="M11" s="193"/>
      <c r="N11" s="193"/>
    </row>
    <row r="12" customFormat="false" ht="20.15" hidden="false" customHeight="true" outlineLevel="0" collapsed="false"/>
    <row r="13" s="199" customFormat="true" ht="87.75" hidden="false" customHeight="true" outlineLevel="0" collapsed="false">
      <c r="B13" s="200" t="s">
        <v>100</v>
      </c>
      <c r="C13" s="200" t="s">
        <v>101</v>
      </c>
      <c r="D13" s="200" t="s">
        <v>102</v>
      </c>
      <c r="E13" s="201" t="s">
        <v>103</v>
      </c>
      <c r="F13" s="202" t="s">
        <v>104</v>
      </c>
      <c r="G13" s="202" t="s">
        <v>105</v>
      </c>
      <c r="H13" s="202" t="s">
        <v>106</v>
      </c>
      <c r="I13" s="202" t="s">
        <v>107</v>
      </c>
      <c r="J13" s="201" t="s">
        <v>108</v>
      </c>
      <c r="K13" s="200" t="s">
        <v>37</v>
      </c>
      <c r="L13" s="203" t="s">
        <v>35</v>
      </c>
      <c r="M13" s="202" t="s">
        <v>36</v>
      </c>
      <c r="N13" s="202" t="s">
        <v>109</v>
      </c>
    </row>
    <row r="14" s="204" customFormat="true" ht="65.15" hidden="false" customHeight="true" outlineLevel="0" collapsed="false">
      <c r="B14" s="205"/>
      <c r="C14" s="206" t="n">
        <v>1</v>
      </c>
      <c r="D14" s="207" t="s">
        <v>110</v>
      </c>
      <c r="E14" s="208" t="n">
        <v>45512</v>
      </c>
      <c r="F14" s="209" t="n">
        <v>0</v>
      </c>
      <c r="G14" s="209"/>
      <c r="H14" s="209"/>
      <c r="I14" s="210" t="s">
        <v>111</v>
      </c>
      <c r="J14" s="211" t="n">
        <v>45523</v>
      </c>
      <c r="K14" s="212"/>
      <c r="L14" s="213" t="n">
        <v>1</v>
      </c>
      <c r="M14" s="210" t="n">
        <f aca="false">IF(Table14[[#This Row],[Progress %]]="","",Table14[[#This Row],[Progress %]]*Table14[[#This Row],[Value £]])</f>
        <v>0</v>
      </c>
      <c r="N14" s="214" t="s">
        <v>112</v>
      </c>
    </row>
    <row r="15" s="204" customFormat="true" ht="65.15" hidden="false" customHeight="true" outlineLevel="0" collapsed="false">
      <c r="B15" s="215"/>
      <c r="C15" s="206" t="n">
        <v>2</v>
      </c>
      <c r="D15" s="216" t="s">
        <v>113</v>
      </c>
      <c r="E15" s="208"/>
      <c r="F15" s="209" t="s">
        <v>114</v>
      </c>
      <c r="G15" s="209"/>
      <c r="H15" s="209"/>
      <c r="I15" s="217" t="s">
        <v>94</v>
      </c>
      <c r="J15" s="218"/>
      <c r="K15" s="214"/>
      <c r="L15" s="219"/>
      <c r="M15" s="210" t="str">
        <f aca="false">IF(Table14[[#This Row],[Progress %]]="","",Table14[[#This Row],[Progress %]]*Table14[[#This Row],[Value £]])</f>
        <v/>
      </c>
      <c r="N15" s="220"/>
    </row>
    <row r="16" s="204" customFormat="true" ht="65.15" hidden="false" customHeight="true" outlineLevel="0" collapsed="false">
      <c r="B16" s="205"/>
      <c r="C16" s="206"/>
      <c r="D16" s="207" t="s">
        <v>115</v>
      </c>
      <c r="E16" s="208"/>
      <c r="F16" s="209" t="n">
        <v>5000</v>
      </c>
      <c r="G16" s="209"/>
      <c r="H16" s="209"/>
      <c r="I16" s="210"/>
      <c r="J16" s="211"/>
      <c r="K16" s="212"/>
      <c r="L16" s="213"/>
      <c r="M16" s="210"/>
      <c r="N16" s="214"/>
    </row>
    <row r="17" s="204" customFormat="true" ht="65.15" hidden="false" customHeight="true" outlineLevel="0" collapsed="false">
      <c r="B17" s="205"/>
      <c r="C17" s="206"/>
      <c r="D17" s="207"/>
      <c r="E17" s="208"/>
      <c r="F17" s="209"/>
      <c r="G17" s="209"/>
      <c r="H17" s="209"/>
      <c r="I17" s="210"/>
      <c r="J17" s="211"/>
      <c r="K17" s="212"/>
      <c r="L17" s="213"/>
      <c r="M17" s="210"/>
      <c r="N17" s="214"/>
    </row>
    <row r="18" s="204" customFormat="true" ht="65.15" hidden="false" customHeight="true" outlineLevel="0" collapsed="false">
      <c r="B18" s="205"/>
      <c r="C18" s="206"/>
      <c r="D18" s="207"/>
      <c r="E18" s="208"/>
      <c r="F18" s="209"/>
      <c r="G18" s="209"/>
      <c r="H18" s="209"/>
      <c r="I18" s="210"/>
      <c r="J18" s="211"/>
      <c r="K18" s="214"/>
      <c r="L18" s="213"/>
      <c r="M18" s="210"/>
      <c r="N18" s="214"/>
    </row>
    <row r="19" s="204" customFormat="true" ht="65.15" hidden="false" customHeight="true" outlineLevel="0" collapsed="false">
      <c r="B19" s="205"/>
      <c r="C19" s="206"/>
      <c r="D19" s="221"/>
      <c r="E19" s="208"/>
      <c r="F19" s="209"/>
      <c r="G19" s="209"/>
      <c r="H19" s="209"/>
      <c r="I19" s="210"/>
      <c r="J19" s="211"/>
      <c r="K19" s="222"/>
      <c r="L19" s="223"/>
      <c r="M19" s="224"/>
      <c r="N19" s="214"/>
    </row>
    <row r="20" s="225" customFormat="true" ht="65.15" hidden="false" customHeight="true" outlineLevel="0" collapsed="false">
      <c r="B20" s="205"/>
      <c r="C20" s="206"/>
      <c r="D20" s="216"/>
      <c r="E20" s="208"/>
      <c r="F20" s="209"/>
      <c r="G20" s="209"/>
      <c r="H20" s="209"/>
      <c r="I20" s="210"/>
      <c r="J20" s="211"/>
      <c r="K20" s="212"/>
      <c r="L20" s="213"/>
      <c r="M20" s="210"/>
      <c r="N20" s="214"/>
    </row>
    <row r="21" s="225" customFormat="true" ht="65.15" hidden="false" customHeight="true" outlineLevel="0" collapsed="false">
      <c r="B21" s="205"/>
      <c r="C21" s="206"/>
      <c r="D21" s="207"/>
      <c r="E21" s="208"/>
      <c r="F21" s="209"/>
      <c r="G21" s="209"/>
      <c r="H21" s="209"/>
      <c r="I21" s="210"/>
      <c r="J21" s="211"/>
      <c r="K21" s="212"/>
      <c r="L21" s="213"/>
      <c r="M21" s="210"/>
      <c r="N21" s="214"/>
    </row>
    <row r="22" s="225" customFormat="true" ht="65.15" hidden="false" customHeight="true" outlineLevel="0" collapsed="false">
      <c r="B22" s="205"/>
      <c r="C22" s="206"/>
      <c r="D22" s="207"/>
      <c r="E22" s="208"/>
      <c r="F22" s="209"/>
      <c r="G22" s="209"/>
      <c r="H22" s="209"/>
      <c r="I22" s="210"/>
      <c r="J22" s="211"/>
      <c r="K22" s="212"/>
      <c r="L22" s="213"/>
      <c r="M22" s="210"/>
      <c r="N22" s="214"/>
    </row>
    <row r="23" s="225" customFormat="true" ht="65.15" hidden="false" customHeight="true" outlineLevel="0" collapsed="false">
      <c r="B23" s="205"/>
      <c r="C23" s="206" t="str">
        <f aca="false">IF(Table14[[#This Row],[Description]]="","",C22+1)</f>
        <v/>
      </c>
      <c r="D23" s="207"/>
      <c r="E23" s="208"/>
      <c r="F23" s="209"/>
      <c r="G23" s="209"/>
      <c r="H23" s="209"/>
      <c r="I23" s="210"/>
      <c r="J23" s="211"/>
      <c r="K23" s="212"/>
      <c r="L23" s="213"/>
      <c r="M23" s="210" t="str">
        <f aca="false">IF(Table14[[#This Row],[Progress %]]="","",Table14[[#This Row],[Progress %]]*Table14[[#This Row],[Value £]])</f>
        <v/>
      </c>
      <c r="N23" s="214"/>
    </row>
    <row r="24" s="225" customFormat="true" ht="65.15" hidden="false" customHeight="true" outlineLevel="0" collapsed="false">
      <c r="B24" s="205"/>
      <c r="C24" s="206" t="str">
        <f aca="false">IF(Table14[[#This Row],[Description]]="","",C23+1)</f>
        <v/>
      </c>
      <c r="D24" s="207"/>
      <c r="E24" s="208"/>
      <c r="F24" s="209"/>
      <c r="G24" s="209"/>
      <c r="H24" s="209"/>
      <c r="I24" s="210"/>
      <c r="J24" s="211"/>
      <c r="K24" s="212"/>
      <c r="L24" s="213"/>
      <c r="M24" s="210" t="str">
        <f aca="false">IF(Table14[[#This Row],[Progress %]]="","",Table14[[#This Row],[Progress %]]*Table14[[#This Row],[Value £]])</f>
        <v/>
      </c>
      <c r="N24" s="214"/>
    </row>
    <row r="25" s="225" customFormat="true" ht="65.15" hidden="false" customHeight="true" outlineLevel="0" collapsed="false">
      <c r="B25" s="205"/>
      <c r="C25" s="206" t="str">
        <f aca="false">IF(Table14[[#This Row],[Description]]="","",C24+1)</f>
        <v/>
      </c>
      <c r="D25" s="207"/>
      <c r="E25" s="208"/>
      <c r="F25" s="209"/>
      <c r="G25" s="209"/>
      <c r="H25" s="209"/>
      <c r="I25" s="210"/>
      <c r="J25" s="211"/>
      <c r="K25" s="212"/>
      <c r="L25" s="213"/>
      <c r="M25" s="210" t="str">
        <f aca="false">IF(Table14[[#This Row],[Progress %]]="","",Table14[[#This Row],[Progress %]]*Table14[[#This Row],[Value £]])</f>
        <v/>
      </c>
      <c r="N25" s="214"/>
    </row>
    <row r="26" s="225" customFormat="true" ht="65.15" hidden="false" customHeight="true" outlineLevel="0" collapsed="false">
      <c r="B26" s="205"/>
      <c r="C26" s="206" t="str">
        <f aca="false">IF(Table14[[#This Row],[Description]]="","",C25+1)</f>
        <v/>
      </c>
      <c r="D26" s="207"/>
      <c r="E26" s="208"/>
      <c r="F26" s="209"/>
      <c r="G26" s="209"/>
      <c r="H26" s="209"/>
      <c r="I26" s="210"/>
      <c r="J26" s="211"/>
      <c r="K26" s="212"/>
      <c r="L26" s="213"/>
      <c r="M26" s="210" t="str">
        <f aca="false">IF(Table14[[#This Row],[Progress %]]="","",Table14[[#This Row],[Progress %]]*Table14[[#This Row],[Value £]])</f>
        <v/>
      </c>
      <c r="N26" s="214"/>
    </row>
    <row r="27" s="225" customFormat="true" ht="65.15" hidden="false" customHeight="true" outlineLevel="0" collapsed="false">
      <c r="B27" s="205"/>
      <c r="C27" s="206" t="str">
        <f aca="false">IF(Table14[[#This Row],[Description]]="","",C26+1)</f>
        <v/>
      </c>
      <c r="D27" s="207"/>
      <c r="E27" s="208"/>
      <c r="F27" s="209"/>
      <c r="G27" s="209"/>
      <c r="H27" s="209"/>
      <c r="I27" s="210"/>
      <c r="J27" s="211"/>
      <c r="K27" s="212"/>
      <c r="L27" s="213"/>
      <c r="M27" s="210" t="str">
        <f aca="false">IF(Table14[[#This Row],[Progress %]]="","",Table14[[#This Row],[Progress %]]*Table14[[#This Row],[Value £]])</f>
        <v/>
      </c>
      <c r="N27" s="214"/>
    </row>
    <row r="28" s="225" customFormat="true" ht="65.15" hidden="false" customHeight="true" outlineLevel="0" collapsed="false">
      <c r="B28" s="205"/>
      <c r="C28" s="206" t="str">
        <f aca="false">IF(Table14[[#This Row],[Description]]="","",C27+1)</f>
        <v/>
      </c>
      <c r="D28" s="207"/>
      <c r="E28" s="208"/>
      <c r="F28" s="209"/>
      <c r="G28" s="209"/>
      <c r="H28" s="209"/>
      <c r="I28" s="210"/>
      <c r="J28" s="211"/>
      <c r="K28" s="212"/>
      <c r="L28" s="213"/>
      <c r="M28" s="210" t="str">
        <f aca="false">IF(Table14[[#This Row],[Progress %]]="","",Table14[[#This Row],[Progress %]]*Table14[[#This Row],[Value £]])</f>
        <v/>
      </c>
      <c r="N28" s="214"/>
    </row>
    <row r="29" s="225" customFormat="true" ht="65.15" hidden="false" customHeight="true" outlineLevel="0" collapsed="false">
      <c r="B29" s="205"/>
      <c r="C29" s="206" t="str">
        <f aca="false">IF(Table14[[#This Row],[Description]]="","",C28+1)</f>
        <v/>
      </c>
      <c r="D29" s="207"/>
      <c r="E29" s="208"/>
      <c r="F29" s="209"/>
      <c r="G29" s="209"/>
      <c r="H29" s="209"/>
      <c r="I29" s="210"/>
      <c r="J29" s="211"/>
      <c r="K29" s="212"/>
      <c r="L29" s="213"/>
      <c r="M29" s="210" t="str">
        <f aca="false">IF(Table14[[#This Row],[Progress %]]="","",Table14[[#This Row],[Progress %]]*Table14[[#This Row],[Value £]])</f>
        <v/>
      </c>
      <c r="N29" s="214"/>
    </row>
    <row r="30" s="225" customFormat="true" ht="65.15" hidden="false" customHeight="true" outlineLevel="0" collapsed="false">
      <c r="B30" s="205"/>
      <c r="C30" s="206" t="str">
        <f aca="false">IF(Table14[[#This Row],[Description]]="","",C29+1)</f>
        <v/>
      </c>
      <c r="D30" s="207"/>
      <c r="E30" s="208"/>
      <c r="F30" s="209"/>
      <c r="G30" s="209"/>
      <c r="H30" s="209"/>
      <c r="I30" s="210"/>
      <c r="J30" s="211"/>
      <c r="K30" s="212"/>
      <c r="L30" s="213"/>
      <c r="M30" s="210" t="str">
        <f aca="false">IF(Table14[[#This Row],[Progress %]]="","",Table14[[#This Row],[Progress %]]*Table14[[#This Row],[Value £]])</f>
        <v/>
      </c>
      <c r="N30" s="214"/>
    </row>
    <row r="31" s="225" customFormat="true" ht="65.15" hidden="false" customHeight="true" outlineLevel="0" collapsed="false">
      <c r="B31" s="205"/>
      <c r="C31" s="206" t="str">
        <f aca="false">IF(Table14[[#This Row],[Description]]="","",C30+1)</f>
        <v/>
      </c>
      <c r="D31" s="207"/>
      <c r="E31" s="208"/>
      <c r="F31" s="209"/>
      <c r="G31" s="209"/>
      <c r="H31" s="209"/>
      <c r="I31" s="210"/>
      <c r="J31" s="211"/>
      <c r="K31" s="212"/>
      <c r="L31" s="213"/>
      <c r="M31" s="210" t="str">
        <f aca="false">IF(Table14[[#This Row],[Progress %]]="","",Table14[[#This Row],[Progress %]]*Table14[[#This Row],[Value £]])</f>
        <v/>
      </c>
      <c r="N31" s="214"/>
    </row>
    <row r="32" s="225" customFormat="true" ht="65.15" hidden="false" customHeight="true" outlineLevel="0" collapsed="false">
      <c r="B32" s="205"/>
      <c r="C32" s="206" t="str">
        <f aca="false">IF(Table14[[#This Row],[Description]]="","",C31+1)</f>
        <v/>
      </c>
      <c r="D32" s="207"/>
      <c r="E32" s="208"/>
      <c r="F32" s="209"/>
      <c r="G32" s="209"/>
      <c r="H32" s="209"/>
      <c r="I32" s="210"/>
      <c r="J32" s="211"/>
      <c r="K32" s="212"/>
      <c r="L32" s="213"/>
      <c r="M32" s="210" t="str">
        <f aca="false">IF(Table14[[#This Row],[Progress %]]="","",Table14[[#This Row],[Progress %]]*Table14[[#This Row],[Value £]])</f>
        <v/>
      </c>
      <c r="N32" s="214"/>
    </row>
    <row r="33" s="225" customFormat="true" ht="65.15" hidden="false" customHeight="true" outlineLevel="0" collapsed="false">
      <c r="B33" s="205"/>
      <c r="C33" s="206" t="str">
        <f aca="false">IF(Table14[[#This Row],[Description]]="","",C32+1)</f>
        <v/>
      </c>
      <c r="D33" s="207"/>
      <c r="E33" s="208"/>
      <c r="F33" s="209"/>
      <c r="G33" s="209"/>
      <c r="H33" s="209"/>
      <c r="I33" s="210"/>
      <c r="J33" s="211"/>
      <c r="K33" s="212"/>
      <c r="L33" s="213"/>
      <c r="M33" s="210" t="str">
        <f aca="false">IF(Table14[[#This Row],[Progress %]]="","",Table14[[#This Row],[Progress %]]*Table14[[#This Row],[Value £]])</f>
        <v/>
      </c>
      <c r="N33" s="214"/>
    </row>
    <row r="34" s="225" customFormat="true" ht="65.15" hidden="false" customHeight="true" outlineLevel="0" collapsed="false">
      <c r="B34" s="205"/>
      <c r="C34" s="206" t="str">
        <f aca="false">IF(Table14[[#This Row],[Description]]="","",C33+1)</f>
        <v/>
      </c>
      <c r="D34" s="207"/>
      <c r="E34" s="208"/>
      <c r="F34" s="209"/>
      <c r="G34" s="209"/>
      <c r="H34" s="209"/>
      <c r="I34" s="210"/>
      <c r="J34" s="211"/>
      <c r="K34" s="212"/>
      <c r="L34" s="213"/>
      <c r="M34" s="210" t="str">
        <f aca="false">IF(Table14[[#This Row],[Progress %]]="","",Table14[[#This Row],[Progress %]]*Table14[[#This Row],[Value £]])</f>
        <v/>
      </c>
      <c r="N34" s="214"/>
    </row>
    <row r="35" s="225" customFormat="true" ht="65.15" hidden="false" customHeight="true" outlineLevel="0" collapsed="false">
      <c r="B35" s="205"/>
      <c r="C35" s="206" t="str">
        <f aca="false">IF(Table14[[#This Row],[Description]]="","",C34+1)</f>
        <v/>
      </c>
      <c r="D35" s="207"/>
      <c r="E35" s="208"/>
      <c r="F35" s="209"/>
      <c r="G35" s="209"/>
      <c r="H35" s="209"/>
      <c r="I35" s="210"/>
      <c r="J35" s="211"/>
      <c r="K35" s="212"/>
      <c r="L35" s="213"/>
      <c r="M35" s="210" t="str">
        <f aca="false">IF(Table14[[#This Row],[Progress %]]="","",Table14[[#This Row],[Progress %]]*Table14[[#This Row],[Value £]])</f>
        <v/>
      </c>
      <c r="N35" s="214"/>
    </row>
    <row r="36" s="225" customFormat="true" ht="65.15" hidden="false" customHeight="true" outlineLevel="0" collapsed="false">
      <c r="B36" s="205"/>
      <c r="C36" s="206" t="str">
        <f aca="false">IF(Table14[[#This Row],[Description]]="","",C35+1)</f>
        <v/>
      </c>
      <c r="D36" s="207"/>
      <c r="E36" s="208"/>
      <c r="F36" s="209"/>
      <c r="G36" s="209"/>
      <c r="H36" s="209"/>
      <c r="I36" s="210"/>
      <c r="J36" s="211"/>
      <c r="K36" s="212"/>
      <c r="L36" s="213"/>
      <c r="M36" s="210" t="str">
        <f aca="false">IF(Table14[[#This Row],[Progress %]]="","",Table14[[#This Row],[Progress %]]*Table14[[#This Row],[Value £]])</f>
        <v/>
      </c>
      <c r="N36" s="214"/>
    </row>
    <row r="37" s="225" customFormat="true" ht="65.15" hidden="false" customHeight="true" outlineLevel="0" collapsed="false">
      <c r="B37" s="205"/>
      <c r="C37" s="206" t="str">
        <f aca="false">IF(Table14[[#This Row],[Description]]="","",C36+1)</f>
        <v/>
      </c>
      <c r="D37" s="207"/>
      <c r="E37" s="208"/>
      <c r="F37" s="209"/>
      <c r="G37" s="209"/>
      <c r="H37" s="209"/>
      <c r="I37" s="210"/>
      <c r="J37" s="211"/>
      <c r="K37" s="212"/>
      <c r="L37" s="213"/>
      <c r="M37" s="210" t="str">
        <f aca="false">IF(Table14[[#This Row],[Progress %]]="","",Table14[[#This Row],[Progress %]]*Table14[[#This Row],[Value £]])</f>
        <v/>
      </c>
      <c r="N37" s="214"/>
    </row>
    <row r="38" s="225" customFormat="true" ht="65.15" hidden="false" customHeight="true" outlineLevel="0" collapsed="false">
      <c r="B38" s="205"/>
      <c r="C38" s="206" t="str">
        <f aca="false">IF(Table14[[#This Row],[Description]]="","",C37+1)</f>
        <v/>
      </c>
      <c r="D38" s="207"/>
      <c r="E38" s="208"/>
      <c r="F38" s="209"/>
      <c r="G38" s="209"/>
      <c r="H38" s="209"/>
      <c r="I38" s="210"/>
      <c r="J38" s="211"/>
      <c r="K38" s="212"/>
      <c r="L38" s="213"/>
      <c r="M38" s="210" t="str">
        <f aca="false">IF(Table14[[#This Row],[Progress %]]="","",Table14[[#This Row],[Progress %]]*Table14[[#This Row],[Value £]])</f>
        <v/>
      </c>
      <c r="N38" s="214"/>
    </row>
    <row r="39" s="225" customFormat="true" ht="65.15" hidden="false" customHeight="true" outlineLevel="0" collapsed="false">
      <c r="B39" s="205"/>
      <c r="C39" s="206" t="str">
        <f aca="false">IF(Table14[[#This Row],[Description]]="","",C38+1)</f>
        <v/>
      </c>
      <c r="D39" s="207"/>
      <c r="E39" s="208"/>
      <c r="F39" s="209"/>
      <c r="G39" s="209"/>
      <c r="H39" s="209"/>
      <c r="I39" s="210"/>
      <c r="J39" s="211"/>
      <c r="K39" s="212"/>
      <c r="L39" s="213"/>
      <c r="M39" s="210" t="str">
        <f aca="false">IF(Table14[[#This Row],[Progress %]]="","",Table14[[#This Row],[Progress %]]*Table14[[#This Row],[Value £]])</f>
        <v/>
      </c>
      <c r="N39" s="214"/>
    </row>
    <row r="40" s="225" customFormat="true" ht="65.15" hidden="false" customHeight="true" outlineLevel="0" collapsed="false">
      <c r="B40" s="205"/>
      <c r="C40" s="206" t="str">
        <f aca="false">IF(Table14[[#This Row],[Description]]="","",C39+1)</f>
        <v/>
      </c>
      <c r="D40" s="207"/>
      <c r="E40" s="208"/>
      <c r="F40" s="209"/>
      <c r="G40" s="209"/>
      <c r="H40" s="209"/>
      <c r="I40" s="210"/>
      <c r="J40" s="211"/>
      <c r="K40" s="212"/>
      <c r="L40" s="213"/>
      <c r="M40" s="210" t="str">
        <f aca="false">IF(Table14[[#This Row],[Progress %]]="","",Table14[[#This Row],[Progress %]]*Table14[[#This Row],[Value £]])</f>
        <v/>
      </c>
      <c r="N40" s="214"/>
    </row>
    <row r="41" s="225" customFormat="true" ht="65.15" hidden="false" customHeight="true" outlineLevel="0" collapsed="false">
      <c r="B41" s="205"/>
      <c r="C41" s="206" t="str">
        <f aca="false">IF(Table14[[#This Row],[Description]]="","",C40+1)</f>
        <v/>
      </c>
      <c r="D41" s="207"/>
      <c r="E41" s="208"/>
      <c r="F41" s="209"/>
      <c r="G41" s="209"/>
      <c r="H41" s="209"/>
      <c r="I41" s="210"/>
      <c r="J41" s="211"/>
      <c r="K41" s="212"/>
      <c r="L41" s="213"/>
      <c r="M41" s="210" t="str">
        <f aca="false">IF(Table14[[#This Row],[Progress %]]="","",Table14[[#This Row],[Progress %]]*Table14[[#This Row],[Value £]])</f>
        <v/>
      </c>
      <c r="N41" s="214"/>
    </row>
    <row r="42" s="225" customFormat="true" ht="65.15" hidden="false" customHeight="true" outlineLevel="0" collapsed="false">
      <c r="B42" s="205"/>
      <c r="C42" s="206" t="str">
        <f aca="false">IF(Table14[[#This Row],[Description]]="","",C41+1)</f>
        <v/>
      </c>
      <c r="D42" s="207"/>
      <c r="E42" s="208"/>
      <c r="F42" s="209"/>
      <c r="G42" s="209"/>
      <c r="H42" s="209"/>
      <c r="I42" s="210"/>
      <c r="J42" s="211"/>
      <c r="K42" s="212"/>
      <c r="L42" s="213"/>
      <c r="M42" s="210" t="str">
        <f aca="false">IF(Table14[[#This Row],[Progress %]]="","",Table14[[#This Row],[Progress %]]*Table14[[#This Row],[Value £]])</f>
        <v/>
      </c>
      <c r="N42" s="214"/>
    </row>
    <row r="43" s="225" customFormat="true" ht="65.15" hidden="false" customHeight="true" outlineLevel="0" collapsed="false">
      <c r="B43" s="205"/>
      <c r="C43" s="206" t="str">
        <f aca="false">IF(Table14[[#This Row],[Description]]="","",C42+1)</f>
        <v/>
      </c>
      <c r="D43" s="207"/>
      <c r="E43" s="208"/>
      <c r="F43" s="209"/>
      <c r="G43" s="209"/>
      <c r="H43" s="209"/>
      <c r="I43" s="210"/>
      <c r="J43" s="211"/>
      <c r="K43" s="212"/>
      <c r="L43" s="213"/>
      <c r="M43" s="210" t="str">
        <f aca="false">IF(Table14[[#This Row],[Progress %]]="","",Table14[[#This Row],[Progress %]]*Table14[[#This Row],[Value £]])</f>
        <v/>
      </c>
      <c r="N43" s="214"/>
    </row>
    <row r="44" s="225" customFormat="true" ht="65.15" hidden="false" customHeight="true" outlineLevel="0" collapsed="false">
      <c r="B44" s="205"/>
      <c r="C44" s="206" t="str">
        <f aca="false">IF(Table14[[#This Row],[Description]]="","",C43+1)</f>
        <v/>
      </c>
      <c r="D44" s="207"/>
      <c r="E44" s="208"/>
      <c r="F44" s="209"/>
      <c r="G44" s="209"/>
      <c r="H44" s="209"/>
      <c r="I44" s="210"/>
      <c r="J44" s="211"/>
      <c r="K44" s="212"/>
      <c r="L44" s="213"/>
      <c r="M44" s="210" t="str">
        <f aca="false">IF(Table14[[#This Row],[Progress %]]="","",Table14[[#This Row],[Progress %]]*Table14[[#This Row],[Value £]])</f>
        <v/>
      </c>
      <c r="N44" s="214"/>
    </row>
    <row r="45" s="225" customFormat="true" ht="65.15" hidden="false" customHeight="true" outlineLevel="0" collapsed="false">
      <c r="B45" s="205"/>
      <c r="C45" s="206" t="str">
        <f aca="false">IF(Table14[[#This Row],[Description]]="","",C44+1)</f>
        <v/>
      </c>
      <c r="D45" s="207"/>
      <c r="E45" s="208"/>
      <c r="F45" s="209"/>
      <c r="G45" s="209"/>
      <c r="H45" s="209" t="e">
        <f aca="false">IF(SUMIF([3]!table15[vo '#],table14[[#this row],[ vo]],[3]!table15[total £])=0,"",sumif([3]!table15[vo '#],Table14[[#This Row],[ VO]],[3]!table15[total £]))),TRUE())),TRUE())</f>
        <v>#VALUE!</v>
      </c>
      <c r="I45" s="210"/>
      <c r="J45" s="211"/>
      <c r="K45" s="212"/>
      <c r="L45" s="213"/>
      <c r="M45" s="210" t="str">
        <f aca="false">IF(Table14[[#This Row],[Progress %]]="","",Table14[[#This Row],[Progress %]]*Table14[[#This Row],[Value £]])</f>
        <v/>
      </c>
      <c r="N45" s="214"/>
    </row>
    <row r="46" s="225" customFormat="true" ht="65.15" hidden="false" customHeight="true" outlineLevel="0" collapsed="false">
      <c r="B46" s="205"/>
      <c r="C46" s="206" t="str">
        <f aca="false">IF(Table14[[#This Row],[Description]]="","",C45+1)</f>
        <v/>
      </c>
      <c r="D46" s="207"/>
      <c r="E46" s="208"/>
      <c r="F46" s="209"/>
      <c r="G46" s="209"/>
      <c r="H46" s="209"/>
      <c r="I46" s="210"/>
      <c r="J46" s="211"/>
      <c r="K46" s="212"/>
      <c r="L46" s="213"/>
      <c r="M46" s="210" t="str">
        <f aca="false">IF(Table14[[#This Row],[Progress %]]="","",Table14[[#This Row],[Progress %]]*Table14[[#This Row],[Value £]])</f>
        <v/>
      </c>
      <c r="N46" s="214"/>
    </row>
    <row r="47" s="225" customFormat="true" ht="65.15" hidden="false" customHeight="true" outlineLevel="0" collapsed="false">
      <c r="B47" s="205"/>
      <c r="C47" s="206" t="str">
        <f aca="false">IF(Table14[[#This Row],[Description]]="","",C46+1)</f>
        <v/>
      </c>
      <c r="D47" s="207"/>
      <c r="E47" s="208"/>
      <c r="F47" s="209"/>
      <c r="G47" s="209"/>
      <c r="H47" s="209"/>
      <c r="I47" s="210"/>
      <c r="J47" s="211"/>
      <c r="K47" s="212"/>
      <c r="L47" s="213"/>
      <c r="M47" s="210" t="str">
        <f aca="false">IF(Table14[[#This Row],[Progress %]]="","",Table14[[#This Row],[Progress %]]*Table14[[#This Row],[Value £]])</f>
        <v/>
      </c>
      <c r="N47" s="214"/>
    </row>
    <row r="48" s="225" customFormat="true" ht="65.15" hidden="false" customHeight="true" outlineLevel="0" collapsed="false">
      <c r="B48" s="205"/>
      <c r="C48" s="206" t="str">
        <f aca="false">IF(Table14[[#This Row],[Description]]="","",C47+1)</f>
        <v/>
      </c>
      <c r="D48" s="207"/>
      <c r="E48" s="208"/>
      <c r="F48" s="209"/>
      <c r="G48" s="209"/>
      <c r="H48" s="209"/>
      <c r="I48" s="210"/>
      <c r="J48" s="211"/>
      <c r="K48" s="212"/>
      <c r="L48" s="213"/>
      <c r="M48" s="210" t="str">
        <f aca="false">IF(Table14[[#This Row],[Progress %]]="","",Table14[[#This Row],[Progress %]]*Table14[[#This Row],[Value £]])</f>
        <v/>
      </c>
      <c r="N48" s="214"/>
    </row>
    <row r="49" s="225" customFormat="true" ht="65.15" hidden="false" customHeight="true" outlineLevel="0" collapsed="false">
      <c r="B49" s="205"/>
      <c r="C49" s="206" t="str">
        <f aca="false">IF(Table14[[#This Row],[Description]]="","",C48+1)</f>
        <v/>
      </c>
      <c r="D49" s="207"/>
      <c r="E49" s="208"/>
      <c r="F49" s="209"/>
      <c r="G49" s="209"/>
      <c r="H49" s="209"/>
      <c r="I49" s="210"/>
      <c r="J49" s="211"/>
      <c r="K49" s="212"/>
      <c r="L49" s="213"/>
      <c r="M49" s="210" t="str">
        <f aca="false">IF(Table14[[#This Row],[Progress %]]="","",Table14[[#This Row],[Progress %]]*Table14[[#This Row],[Value £]])</f>
        <v/>
      </c>
      <c r="N49" s="214"/>
    </row>
    <row r="50" s="225" customFormat="true" ht="65.15" hidden="false" customHeight="true" outlineLevel="0" collapsed="false">
      <c r="B50" s="205"/>
      <c r="C50" s="206" t="str">
        <f aca="false">IF(Table14[[#This Row],[Description]]="","",C49+1)</f>
        <v/>
      </c>
      <c r="D50" s="207"/>
      <c r="E50" s="208"/>
      <c r="F50" s="209"/>
      <c r="G50" s="209"/>
      <c r="H50" s="209"/>
      <c r="I50" s="210"/>
      <c r="J50" s="211"/>
      <c r="K50" s="212"/>
      <c r="L50" s="213"/>
      <c r="M50" s="210" t="str">
        <f aca="false">IF(Table14[[#This Row],[Progress %]]="","",Table14[[#This Row],[Progress %]]*Table14[[#This Row],[Value £]])</f>
        <v/>
      </c>
      <c r="N50" s="214"/>
    </row>
    <row r="51" s="225" customFormat="true" ht="65.15" hidden="false" customHeight="true" outlineLevel="0" collapsed="false">
      <c r="B51" s="205"/>
      <c r="C51" s="206" t="str">
        <f aca="false">IF(Table14[[#This Row],[Description]]="","",C50+1)</f>
        <v/>
      </c>
      <c r="D51" s="207"/>
      <c r="E51" s="208"/>
      <c r="F51" s="209"/>
      <c r="G51" s="209"/>
      <c r="H51" s="209"/>
      <c r="I51" s="210"/>
      <c r="J51" s="211"/>
      <c r="K51" s="212"/>
      <c r="L51" s="213"/>
      <c r="M51" s="210" t="str">
        <f aca="false">IF(Table14[[#This Row],[Progress %]]="","",Table14[[#This Row],[Progress %]]*Table14[[#This Row],[Value £]])</f>
        <v/>
      </c>
      <c r="N51" s="214"/>
    </row>
    <row r="52" s="225" customFormat="true" ht="65.15" hidden="false" customHeight="true" outlineLevel="0" collapsed="false">
      <c r="B52" s="205"/>
      <c r="C52" s="206" t="str">
        <f aca="false">IF(Table14[[#This Row],[Description]]="","",C51+1)</f>
        <v/>
      </c>
      <c r="D52" s="207"/>
      <c r="E52" s="208"/>
      <c r="F52" s="209"/>
      <c r="G52" s="209"/>
      <c r="H52" s="209"/>
      <c r="I52" s="210"/>
      <c r="J52" s="211"/>
      <c r="K52" s="212"/>
      <c r="L52" s="213"/>
      <c r="M52" s="210" t="str">
        <f aca="false">IF(Table14[[#This Row],[Progress %]]="","",Table14[[#This Row],[Progress %]]*Table14[[#This Row],[Value £]])</f>
        <v/>
      </c>
      <c r="N52" s="214"/>
    </row>
    <row r="53" s="225" customFormat="true" ht="65.15" hidden="false" customHeight="true" outlineLevel="0" collapsed="false">
      <c r="B53" s="205"/>
      <c r="C53" s="206" t="str">
        <f aca="false">IF(Table14[[#This Row],[Description]]="","",C52+1)</f>
        <v/>
      </c>
      <c r="D53" s="207"/>
      <c r="E53" s="208"/>
      <c r="F53" s="209"/>
      <c r="G53" s="209"/>
      <c r="H53" s="209"/>
      <c r="I53" s="210"/>
      <c r="J53" s="211"/>
      <c r="K53" s="212"/>
      <c r="L53" s="213"/>
      <c r="M53" s="210" t="str">
        <f aca="false">IF(Table14[[#This Row],[Progress %]]="","",Table14[[#This Row],[Progress %]]*Table14[[#This Row],[Value £]])</f>
        <v/>
      </c>
      <c r="N53" s="214"/>
    </row>
    <row r="54" s="225" customFormat="true" ht="65.15" hidden="false" customHeight="true" outlineLevel="0" collapsed="false">
      <c r="B54" s="205"/>
      <c r="C54" s="206" t="str">
        <f aca="false">IF(Table14[[#This Row],[Description]]="","",C53+1)</f>
        <v/>
      </c>
      <c r="D54" s="207"/>
      <c r="E54" s="208"/>
      <c r="F54" s="209"/>
      <c r="G54" s="209"/>
      <c r="H54" s="209" t="s">
        <v>25</v>
      </c>
      <c r="I54" s="210"/>
      <c r="J54" s="211"/>
      <c r="K54" s="212"/>
      <c r="L54" s="213"/>
      <c r="M54" s="210" t="str">
        <f aca="false">IF(Table14[[#This Row],[Progress %]]="","",Table14[[#This Row],[Progress %]]*Table14[[#This Row],[Value £]])</f>
        <v/>
      </c>
      <c r="N54" s="214"/>
    </row>
    <row r="55" s="225" customFormat="true" ht="65.15" hidden="false" customHeight="true" outlineLevel="0" collapsed="false">
      <c r="B55" s="205"/>
      <c r="C55" s="206" t="str">
        <f aca="false">IF(Table14[[#This Row],[Description]]="","",C54+1)</f>
        <v/>
      </c>
      <c r="D55" s="207"/>
      <c r="E55" s="208"/>
      <c r="F55" s="209"/>
      <c r="G55" s="209"/>
      <c r="H55" s="209"/>
      <c r="I55" s="210"/>
      <c r="J55" s="211"/>
      <c r="K55" s="212"/>
      <c r="L55" s="213"/>
      <c r="M55" s="210" t="str">
        <f aca="false">IF(Table14[[#This Row],[Progress %]]="","",Table14[[#This Row],[Progress %]]*Table14[[#This Row],[Value £]])</f>
        <v/>
      </c>
      <c r="N55" s="214"/>
    </row>
    <row r="56" s="225" customFormat="true" ht="65.15" hidden="false" customHeight="true" outlineLevel="0" collapsed="false">
      <c r="B56" s="205"/>
      <c r="C56" s="206" t="str">
        <f aca="false">IF(Table14[[#This Row],[Description]]="","",C55+1)</f>
        <v/>
      </c>
      <c r="D56" s="207"/>
      <c r="E56" s="208"/>
      <c r="F56" s="209"/>
      <c r="G56" s="209"/>
      <c r="H56" s="209"/>
      <c r="I56" s="210"/>
      <c r="J56" s="211"/>
      <c r="K56" s="212"/>
      <c r="L56" s="213"/>
      <c r="M56" s="210" t="str">
        <f aca="false">IF(Table14[[#This Row],[Progress %]]="","",Table14[[#This Row],[Progress %]]*Table14[[#This Row],[Value £]])</f>
        <v/>
      </c>
      <c r="N56" s="214"/>
    </row>
    <row r="57" s="225" customFormat="true" ht="65.15" hidden="false" customHeight="true" outlineLevel="0" collapsed="false">
      <c r="B57" s="205"/>
      <c r="C57" s="206" t="str">
        <f aca="false">IF(Table14[[#This Row],[Description]]="","",C56+1)</f>
        <v/>
      </c>
      <c r="D57" s="207"/>
      <c r="E57" s="208"/>
      <c r="F57" s="209"/>
      <c r="G57" s="209"/>
      <c r="H57" s="209"/>
      <c r="I57" s="210"/>
      <c r="J57" s="211"/>
      <c r="K57" s="212"/>
      <c r="L57" s="213"/>
      <c r="M57" s="210" t="str">
        <f aca="false">IF(Table14[[#This Row],[Progress %]]="","",Table14[[#This Row],[Progress %]]*Table14[[#This Row],[Value £]])</f>
        <v/>
      </c>
      <c r="N57" s="214"/>
    </row>
    <row r="58" s="225" customFormat="true" ht="65.15" hidden="false" customHeight="true" outlineLevel="0" collapsed="false">
      <c r="B58" s="205"/>
      <c r="C58" s="206" t="str">
        <f aca="false">IF(Table14[[#This Row],[Description]]="","",C57+1)</f>
        <v/>
      </c>
      <c r="D58" s="207"/>
      <c r="E58" s="208"/>
      <c r="F58" s="209"/>
      <c r="G58" s="209"/>
      <c r="H58" s="209"/>
      <c r="I58" s="210"/>
      <c r="J58" s="211"/>
      <c r="K58" s="212"/>
      <c r="L58" s="213"/>
      <c r="M58" s="210" t="str">
        <f aca="false">IF(Table14[[#This Row],[Progress %]]="","",Table14[[#This Row],[Progress %]]*Table14[[#This Row],[Value £]])</f>
        <v/>
      </c>
      <c r="N58" s="214"/>
    </row>
    <row r="59" s="225" customFormat="true" ht="65.15" hidden="false" customHeight="true" outlineLevel="0" collapsed="false">
      <c r="B59" s="205"/>
      <c r="C59" s="206" t="str">
        <f aca="false">IF(Table14[[#This Row],[Description]]="","",C58+1)</f>
        <v/>
      </c>
      <c r="D59" s="207"/>
      <c r="E59" s="208"/>
      <c r="F59" s="209"/>
      <c r="G59" s="209"/>
      <c r="H59" s="209"/>
      <c r="I59" s="210"/>
      <c r="J59" s="211"/>
      <c r="K59" s="212"/>
      <c r="L59" s="213"/>
      <c r="M59" s="210" t="str">
        <f aca="false">IF(Table14[[#This Row],[Progress %]]="","",Table14[[#This Row],[Progress %]]*Table14[[#This Row],[Value £]])</f>
        <v/>
      </c>
      <c r="N59" s="214"/>
    </row>
    <row r="60" s="204" customFormat="true" ht="65.15" hidden="false" customHeight="true" outlineLevel="0" collapsed="false">
      <c r="B60" s="205"/>
      <c r="C60" s="206" t="str">
        <f aca="false">IF(Table14[[#This Row],[Description]]="","",C59+1)</f>
        <v/>
      </c>
      <c r="D60" s="207"/>
      <c r="E60" s="208"/>
      <c r="F60" s="209"/>
      <c r="G60" s="209"/>
      <c r="H60" s="209"/>
      <c r="I60" s="210"/>
      <c r="J60" s="211"/>
      <c r="K60" s="212"/>
      <c r="L60" s="213"/>
      <c r="M60" s="210" t="str">
        <f aca="false">IF(Table14[[#This Row],[Progress %]]="","",Table14[[#This Row],[Progress %]]*Table14[[#This Row],[Value £]])</f>
        <v/>
      </c>
      <c r="N60" s="214"/>
    </row>
    <row r="61" s="204" customFormat="true" ht="65.15" hidden="false" customHeight="true" outlineLevel="0" collapsed="false">
      <c r="B61" s="205"/>
      <c r="C61" s="206" t="str">
        <f aca="false">IF(Table14[[#This Row],[Description]]="","",C60+1)</f>
        <v/>
      </c>
      <c r="D61" s="207"/>
      <c r="E61" s="208"/>
      <c r="F61" s="209"/>
      <c r="G61" s="209"/>
      <c r="H61" s="209"/>
      <c r="I61" s="210"/>
      <c r="J61" s="211"/>
      <c r="K61" s="212"/>
      <c r="L61" s="213"/>
      <c r="M61" s="210" t="str">
        <f aca="false">IF(Table14[[#This Row],[Progress %]]="","",Table14[[#This Row],[Progress %]]*Table14[[#This Row],[Value £]])</f>
        <v/>
      </c>
      <c r="N61" s="214"/>
    </row>
    <row r="62" s="204" customFormat="true" ht="65.15" hidden="false" customHeight="true" outlineLevel="0" collapsed="false">
      <c r="B62" s="205"/>
      <c r="C62" s="206" t="str">
        <f aca="false">IF(Table14[[#This Row],[Description]]="","",C61+1)</f>
        <v/>
      </c>
      <c r="D62" s="207"/>
      <c r="E62" s="208"/>
      <c r="F62" s="209"/>
      <c r="G62" s="209"/>
      <c r="H62" s="209"/>
      <c r="I62" s="210"/>
      <c r="J62" s="211"/>
      <c r="K62" s="212"/>
      <c r="L62" s="213"/>
      <c r="M62" s="210" t="str">
        <f aca="false">IF(Table14[[#This Row],[Progress %]]="","",Table14[[#This Row],[Progress %]]*Table14[[#This Row],[Value £]])</f>
        <v/>
      </c>
      <c r="N62" s="214"/>
    </row>
    <row r="63" s="204" customFormat="true" ht="65.15" hidden="false" customHeight="true" outlineLevel="0" collapsed="false">
      <c r="B63" s="205"/>
      <c r="C63" s="206" t="str">
        <f aca="false">IF(Table14[[#This Row],[Description]]="","",C62+1)</f>
        <v/>
      </c>
      <c r="D63" s="207"/>
      <c r="E63" s="208"/>
      <c r="F63" s="209"/>
      <c r="G63" s="209"/>
      <c r="H63" s="209"/>
      <c r="I63" s="210"/>
      <c r="J63" s="211"/>
      <c r="K63" s="212"/>
      <c r="L63" s="213"/>
      <c r="M63" s="210" t="str">
        <f aca="false">IF(Table14[[#This Row],[Progress %]]="","",Table14[[#This Row],[Progress %]]*Table14[[#This Row],[Value £]])</f>
        <v/>
      </c>
      <c r="N63" s="214"/>
    </row>
    <row r="64" s="204" customFormat="true" ht="65.15" hidden="false" customHeight="true" outlineLevel="0" collapsed="false">
      <c r="B64" s="205"/>
      <c r="C64" s="206" t="str">
        <f aca="false">IF(Table14[[#This Row],[Description]]="","",C63+1)</f>
        <v/>
      </c>
      <c r="D64" s="207"/>
      <c r="E64" s="208"/>
      <c r="F64" s="209"/>
      <c r="G64" s="209"/>
      <c r="H64" s="209"/>
      <c r="I64" s="210"/>
      <c r="J64" s="211"/>
      <c r="K64" s="222"/>
      <c r="L64" s="223"/>
      <c r="M64" s="224" t="str">
        <f aca="false">IF(Table14[[#This Row],[Progress %]]="","",Table14[[#This Row],[Progress %]]*Table14[[#This Row],[Value £]])</f>
        <v/>
      </c>
      <c r="N64" s="214"/>
    </row>
    <row r="65" s="204" customFormat="true" ht="65.15" hidden="false" customHeight="true" outlineLevel="0" collapsed="false">
      <c r="B65" s="205"/>
      <c r="C65" s="206" t="str">
        <f aca="false">IF(Table14[[#This Row],[Description]]="","",C64+1)</f>
        <v/>
      </c>
      <c r="D65" s="207"/>
      <c r="E65" s="208"/>
      <c r="F65" s="209"/>
      <c r="G65" s="209"/>
      <c r="H65" s="209"/>
      <c r="I65" s="210"/>
      <c r="J65" s="211"/>
      <c r="K65" s="212"/>
      <c r="L65" s="213"/>
      <c r="M65" s="210" t="str">
        <f aca="false">IF(Table14[[#This Row],[Progress %]]="","",Table14[[#This Row],[Progress %]]*Table14[[#This Row],[Value £]])</f>
        <v/>
      </c>
      <c r="N65" s="214"/>
    </row>
    <row r="66" s="204" customFormat="true" ht="65.15" hidden="false" customHeight="true" outlineLevel="0" collapsed="false">
      <c r="B66" s="205"/>
      <c r="C66" s="206" t="str">
        <f aca="false">IF(Table14[[#This Row],[Description]]="","",C65+1)</f>
        <v/>
      </c>
      <c r="D66" s="207"/>
      <c r="E66" s="208"/>
      <c r="F66" s="209"/>
      <c r="G66" s="209"/>
      <c r="H66" s="209"/>
      <c r="I66" s="210"/>
      <c r="J66" s="211"/>
      <c r="K66" s="212"/>
      <c r="L66" s="213"/>
      <c r="M66" s="210" t="str">
        <f aca="false">IF(Table14[[#This Row],[Progress %]]="","",Table14[[#This Row],[Progress %]]*Table14[[#This Row],[Value £]])</f>
        <v/>
      </c>
      <c r="N66" s="214"/>
    </row>
    <row r="67" s="204" customFormat="true" ht="65.15" hidden="false" customHeight="true" outlineLevel="0" collapsed="false">
      <c r="B67" s="205"/>
      <c r="C67" s="206" t="str">
        <f aca="false">IF(Table14[[#This Row],[Description]]="","",C66+1)</f>
        <v/>
      </c>
      <c r="D67" s="207"/>
      <c r="E67" s="208"/>
      <c r="F67" s="209"/>
      <c r="G67" s="209"/>
      <c r="H67" s="209"/>
      <c r="I67" s="210"/>
      <c r="J67" s="211"/>
      <c r="K67" s="212"/>
      <c r="L67" s="213"/>
      <c r="M67" s="210" t="str">
        <f aca="false">IF(Table14[[#This Row],[Progress %]]="","",Table14[[#This Row],[Progress %]]*Table14[[#This Row],[Value £]])</f>
        <v/>
      </c>
      <c r="N67" s="214"/>
    </row>
    <row r="68" s="204" customFormat="true" ht="65.15" hidden="false" customHeight="true" outlineLevel="0" collapsed="false">
      <c r="B68" s="205"/>
      <c r="C68" s="206" t="str">
        <f aca="false">IF(Table14[[#This Row],[Description]]="","",C67+1)</f>
        <v/>
      </c>
      <c r="D68" s="207"/>
      <c r="E68" s="208"/>
      <c r="F68" s="209"/>
      <c r="G68" s="209"/>
      <c r="H68" s="209"/>
      <c r="I68" s="210"/>
      <c r="J68" s="211"/>
      <c r="K68" s="212"/>
      <c r="L68" s="213"/>
      <c r="M68" s="210" t="str">
        <f aca="false">IF(Table14[[#This Row],[Progress %]]="","",Table14[[#This Row],[Progress %]]*Table14[[#This Row],[Value £]])</f>
        <v/>
      </c>
      <c r="N68" s="214"/>
    </row>
    <row r="69" s="204" customFormat="true" ht="65.15" hidden="false" customHeight="true" outlineLevel="0" collapsed="false">
      <c r="B69" s="205"/>
      <c r="C69" s="206" t="str">
        <f aca="false">IF(Table14[[#This Row],[Description]]="","",C68+1)</f>
        <v/>
      </c>
      <c r="D69" s="207"/>
      <c r="E69" s="208"/>
      <c r="F69" s="209"/>
      <c r="G69" s="209"/>
      <c r="H69" s="209"/>
      <c r="I69" s="210"/>
      <c r="J69" s="211"/>
      <c r="K69" s="226"/>
      <c r="L69" s="227"/>
      <c r="M69" s="228" t="str">
        <f aca="false">IF(Table14[[#This Row],[Progress %]]="","",Table14[[#This Row],[Progress %]]*Table14[[#This Row],[Value £]])</f>
        <v/>
      </c>
      <c r="N69" s="214"/>
    </row>
    <row r="70" s="204" customFormat="true" ht="65.15" hidden="false" customHeight="true" outlineLevel="0" collapsed="false">
      <c r="B70" s="205"/>
      <c r="C70" s="206" t="str">
        <f aca="false">IF(Table14[[#This Row],[Description]]="","",C69+1)</f>
        <v/>
      </c>
      <c r="D70" s="207"/>
      <c r="E70" s="208"/>
      <c r="F70" s="209"/>
      <c r="G70" s="209"/>
      <c r="H70" s="209"/>
      <c r="I70" s="210"/>
      <c r="J70" s="211"/>
      <c r="K70" s="212"/>
      <c r="L70" s="213"/>
      <c r="M70" s="210" t="str">
        <f aca="false">IF(Table14[[#This Row],[Progress %]]="","",Table14[[#This Row],[Progress %]]*Table14[[#This Row],[Value £]])</f>
        <v/>
      </c>
      <c r="N70" s="214"/>
    </row>
    <row r="71" s="204" customFormat="true" ht="65.15" hidden="false" customHeight="true" outlineLevel="0" collapsed="false">
      <c r="B71" s="205"/>
      <c r="C71" s="206" t="str">
        <f aca="false">IF(Table14[[#This Row],[Description]]="","",C70+1)</f>
        <v/>
      </c>
      <c r="D71" s="207"/>
      <c r="E71" s="208"/>
      <c r="F71" s="209"/>
      <c r="G71" s="209"/>
      <c r="H71" s="209"/>
      <c r="I71" s="210"/>
      <c r="J71" s="211"/>
      <c r="K71" s="212"/>
      <c r="L71" s="213"/>
      <c r="M71" s="210" t="str">
        <f aca="false">IF(Table14[[#This Row],[Progress %]]="","",Table14[[#This Row],[Progress %]]*Table14[[#This Row],[Value £]])</f>
        <v/>
      </c>
      <c r="N71" s="214"/>
    </row>
    <row r="72" s="204" customFormat="true" ht="65.15" hidden="false" customHeight="true" outlineLevel="0" collapsed="false">
      <c r="B72" s="205"/>
      <c r="C72" s="206" t="str">
        <f aca="false">IF(Table14[[#This Row],[Description]]="","",C71+1)</f>
        <v/>
      </c>
      <c r="D72" s="207"/>
      <c r="E72" s="208"/>
      <c r="F72" s="209"/>
      <c r="G72" s="209"/>
      <c r="H72" s="209"/>
      <c r="I72" s="210"/>
      <c r="J72" s="211"/>
      <c r="K72" s="212"/>
      <c r="L72" s="213"/>
      <c r="M72" s="210" t="str">
        <f aca="false">IF(Table14[[#This Row],[Progress %]]="","",Table14[[#This Row],[Progress %]]*Table14[[#This Row],[Value £]])</f>
        <v/>
      </c>
      <c r="N72" s="214"/>
    </row>
    <row r="73" s="204" customFormat="true" ht="65.15" hidden="false" customHeight="true" outlineLevel="0" collapsed="false">
      <c r="B73" s="205"/>
      <c r="C73" s="206" t="str">
        <f aca="false">IF(Table14[[#This Row],[Description]]="","",C72+1)</f>
        <v/>
      </c>
      <c r="D73" s="207"/>
      <c r="E73" s="229"/>
      <c r="F73" s="209"/>
      <c r="G73" s="209"/>
      <c r="H73" s="209"/>
      <c r="I73" s="210"/>
      <c r="J73" s="211"/>
      <c r="K73" s="226"/>
      <c r="L73" s="227"/>
      <c r="M73" s="228" t="str">
        <f aca="false">IF(Table14[[#This Row],[Progress %]]="","",Table14[[#This Row],[Progress %]]*Table14[[#This Row],[Value £]])</f>
        <v/>
      </c>
      <c r="N73" s="214"/>
    </row>
    <row r="74" s="204" customFormat="true" ht="65.15" hidden="false" customHeight="true" outlineLevel="0" collapsed="false">
      <c r="B74" s="205"/>
      <c r="C74" s="206" t="str">
        <f aca="false">IF(Table14[[#This Row],[Description]]="","",C73+1)</f>
        <v/>
      </c>
      <c r="D74" s="207"/>
      <c r="E74" s="208"/>
      <c r="F74" s="209"/>
      <c r="G74" s="209"/>
      <c r="H74" s="209"/>
      <c r="I74" s="210"/>
      <c r="J74" s="211"/>
      <c r="K74" s="212"/>
      <c r="L74" s="213"/>
      <c r="M74" s="210" t="str">
        <f aca="false">IF(Table14[[#This Row],[Progress %]]="","",Table14[[#This Row],[Progress %]]*Table14[[#This Row],[Value £]])</f>
        <v/>
      </c>
      <c r="N74" s="214"/>
    </row>
    <row r="75" s="204" customFormat="true" ht="65.15" hidden="false" customHeight="true" outlineLevel="0" collapsed="false">
      <c r="B75" s="205"/>
      <c r="C75" s="206" t="str">
        <f aca="false">IF(Table14[[#This Row],[Description]]="","",C74+1)</f>
        <v/>
      </c>
      <c r="D75" s="207"/>
      <c r="E75" s="208"/>
      <c r="F75" s="209"/>
      <c r="G75" s="209"/>
      <c r="H75" s="209"/>
      <c r="I75" s="210"/>
      <c r="J75" s="211"/>
      <c r="K75" s="212"/>
      <c r="L75" s="213"/>
      <c r="M75" s="210" t="str">
        <f aca="false">IF(Table14[[#This Row],[Progress %]]="","",Table14[[#This Row],[Progress %]]*Table14[[#This Row],[Value £]])</f>
        <v/>
      </c>
      <c r="N75" s="214"/>
    </row>
    <row r="76" s="204" customFormat="true" ht="65.15" hidden="false" customHeight="true" outlineLevel="0" collapsed="false">
      <c r="B76" s="205"/>
      <c r="C76" s="206" t="str">
        <f aca="false">IF(Table14[[#This Row],[Description]]="","",C75+1)</f>
        <v/>
      </c>
      <c r="D76" s="207"/>
      <c r="E76" s="208"/>
      <c r="F76" s="209"/>
      <c r="G76" s="209"/>
      <c r="H76" s="209"/>
      <c r="I76" s="210"/>
      <c r="J76" s="211"/>
      <c r="K76" s="212"/>
      <c r="L76" s="213"/>
      <c r="M76" s="210" t="str">
        <f aca="false">IF(Table14[[#This Row],[Progress %]]="","",Table14[[#This Row],[Progress %]]*Table14[[#This Row],[Value £]])</f>
        <v/>
      </c>
      <c r="N76" s="214"/>
    </row>
    <row r="77" s="204" customFormat="true" ht="65.15" hidden="false" customHeight="true" outlineLevel="0" collapsed="false">
      <c r="B77" s="205"/>
      <c r="C77" s="206" t="str">
        <f aca="false">IF(Table14[[#This Row],[Description]]="","",C76+1)</f>
        <v/>
      </c>
      <c r="D77" s="207"/>
      <c r="E77" s="208"/>
      <c r="F77" s="209"/>
      <c r="G77" s="209"/>
      <c r="H77" s="209"/>
      <c r="I77" s="210"/>
      <c r="J77" s="211"/>
      <c r="K77" s="212"/>
      <c r="L77" s="213"/>
      <c r="M77" s="210" t="str">
        <f aca="false">IF(Table14[[#This Row],[Progress %]]="","",Table14[[#This Row],[Progress %]]*Table14[[#This Row],[Value £]])</f>
        <v/>
      </c>
      <c r="N77" s="214"/>
    </row>
    <row r="78" s="204" customFormat="true" ht="65.15" hidden="false" customHeight="true" outlineLevel="0" collapsed="false">
      <c r="B78" s="205"/>
      <c r="C78" s="206" t="str">
        <f aca="false">IF(Table14[[#This Row],[Description]]="","",C77+1)</f>
        <v/>
      </c>
      <c r="D78" s="207"/>
      <c r="E78" s="208"/>
      <c r="F78" s="209"/>
      <c r="G78" s="209"/>
      <c r="H78" s="209"/>
      <c r="I78" s="210"/>
      <c r="J78" s="211"/>
      <c r="K78" s="212"/>
      <c r="L78" s="213"/>
      <c r="M78" s="210" t="str">
        <f aca="false">IF(Table14[[#This Row],[Progress %]]="","",Table14[[#This Row],[Progress %]]*Table14[[#This Row],[Value £]])</f>
        <v/>
      </c>
      <c r="N78" s="214"/>
    </row>
    <row r="79" s="204" customFormat="true" ht="65.15" hidden="false" customHeight="true" outlineLevel="0" collapsed="false">
      <c r="B79" s="205"/>
      <c r="C79" s="206" t="str">
        <f aca="false">IF(Table14[[#This Row],[Description]]="","",C78+1)</f>
        <v/>
      </c>
      <c r="D79" s="207"/>
      <c r="E79" s="208"/>
      <c r="F79" s="209"/>
      <c r="G79" s="209"/>
      <c r="H79" s="209"/>
      <c r="I79" s="210"/>
      <c r="J79" s="211"/>
      <c r="K79" s="212"/>
      <c r="L79" s="213"/>
      <c r="M79" s="210" t="str">
        <f aca="false">IF(Table14[[#This Row],[Progress %]]="","",Table14[[#This Row],[Progress %]]*Table14[[#This Row],[Value £]])</f>
        <v/>
      </c>
      <c r="N79" s="214"/>
    </row>
    <row r="80" s="204" customFormat="true" ht="65.15" hidden="false" customHeight="true" outlineLevel="0" collapsed="false">
      <c r="B80" s="205"/>
      <c r="C80" s="206" t="str">
        <f aca="false">IF(Table14[[#This Row],[Description]]="","",C79+1)</f>
        <v/>
      </c>
      <c r="D80" s="207"/>
      <c r="E80" s="208"/>
      <c r="F80" s="209"/>
      <c r="G80" s="209"/>
      <c r="H80" s="209"/>
      <c r="I80" s="210"/>
      <c r="J80" s="211"/>
      <c r="K80" s="212"/>
      <c r="L80" s="213"/>
      <c r="M80" s="210" t="str">
        <f aca="false">IF(Table14[[#This Row],[Progress %]]="","",Table14[[#This Row],[Progress %]]*Table14[[#This Row],[Value £]])</f>
        <v/>
      </c>
      <c r="N80" s="214"/>
    </row>
    <row r="81" s="204" customFormat="true" ht="65.15" hidden="false" customHeight="true" outlineLevel="0" collapsed="false">
      <c r="B81" s="205"/>
      <c r="C81" s="206" t="str">
        <f aca="false">IF(Table14[[#This Row],[Description]]="","",C80+1)</f>
        <v/>
      </c>
      <c r="D81" s="207"/>
      <c r="E81" s="208"/>
      <c r="F81" s="209"/>
      <c r="G81" s="209"/>
      <c r="H81" s="209"/>
      <c r="I81" s="210"/>
      <c r="J81" s="211"/>
      <c r="K81" s="212"/>
      <c r="L81" s="213"/>
      <c r="M81" s="210" t="str">
        <f aca="false">IF(Table14[[#This Row],[Progress %]]="","",Table14[[#This Row],[Progress %]]*Table14[[#This Row],[Value £]])</f>
        <v/>
      </c>
      <c r="N81" s="214"/>
    </row>
    <row r="82" s="204" customFormat="true" ht="65.15" hidden="false" customHeight="true" outlineLevel="0" collapsed="false">
      <c r="B82" s="205"/>
      <c r="C82" s="206" t="str">
        <f aca="false">IF(Table14[[#This Row],[Description]]="","",C81+1)</f>
        <v/>
      </c>
      <c r="D82" s="207"/>
      <c r="E82" s="208"/>
      <c r="F82" s="209"/>
      <c r="G82" s="209"/>
      <c r="H82" s="209"/>
      <c r="I82" s="210"/>
      <c r="J82" s="211"/>
      <c r="K82" s="212"/>
      <c r="L82" s="213"/>
      <c r="M82" s="210" t="str">
        <f aca="false">IF(Table14[[#This Row],[Progress %]]="","",Table14[[#This Row],[Progress %]]*Table14[[#This Row],[Value £]])</f>
        <v/>
      </c>
      <c r="N82" s="214"/>
    </row>
    <row r="83" s="204" customFormat="true" ht="65.15" hidden="false" customHeight="true" outlineLevel="0" collapsed="false">
      <c r="B83" s="205"/>
      <c r="C83" s="206" t="str">
        <f aca="false">IF(Table14[[#This Row],[Description]]="","",C82+1)</f>
        <v/>
      </c>
      <c r="D83" s="207"/>
      <c r="E83" s="208"/>
      <c r="F83" s="209"/>
      <c r="G83" s="209"/>
      <c r="H83" s="209"/>
      <c r="I83" s="210"/>
      <c r="J83" s="211"/>
      <c r="K83" s="212"/>
      <c r="L83" s="213"/>
      <c r="M83" s="210" t="str">
        <f aca="false">IF(Table14[[#This Row],[Progress %]]="","",Table14[[#This Row],[Progress %]]*Table14[[#This Row],[Value £]])</f>
        <v/>
      </c>
      <c r="N83" s="214"/>
    </row>
    <row r="84" s="204" customFormat="true" ht="65.15" hidden="false" customHeight="true" outlineLevel="0" collapsed="false">
      <c r="B84" s="205"/>
      <c r="C84" s="206" t="str">
        <f aca="false">IF(Table14[[#This Row],[Description]]="","",C83+1)</f>
        <v/>
      </c>
      <c r="D84" s="207"/>
      <c r="E84" s="208"/>
      <c r="F84" s="209"/>
      <c r="G84" s="209"/>
      <c r="H84" s="209"/>
      <c r="I84" s="210"/>
      <c r="J84" s="211"/>
      <c r="K84" s="212"/>
      <c r="L84" s="213"/>
      <c r="M84" s="210" t="str">
        <f aca="false">IF(Table14[[#This Row],[Progress %]]="","",Table14[[#This Row],[Progress %]]*Table14[[#This Row],[Value £]])</f>
        <v/>
      </c>
      <c r="N84" s="214"/>
    </row>
    <row r="85" s="204" customFormat="true" ht="65.15" hidden="false" customHeight="true" outlineLevel="0" collapsed="false">
      <c r="B85" s="205"/>
      <c r="C85" s="206" t="str">
        <f aca="false">IF(Table14[[#This Row],[Description]]="","",C84+1)</f>
        <v/>
      </c>
      <c r="D85" s="207"/>
      <c r="E85" s="208"/>
      <c r="F85" s="209"/>
      <c r="G85" s="209"/>
      <c r="H85" s="209"/>
      <c r="I85" s="210"/>
      <c r="J85" s="211"/>
      <c r="K85" s="212"/>
      <c r="L85" s="213"/>
      <c r="M85" s="210" t="str">
        <f aca="false">IF(Table14[[#This Row],[Progress %]]="","",Table14[[#This Row],[Progress %]]*Table14[[#This Row],[Value £]])</f>
        <v/>
      </c>
      <c r="N85" s="214"/>
    </row>
    <row r="86" s="204" customFormat="true" ht="65.15" hidden="false" customHeight="true" outlineLevel="0" collapsed="false">
      <c r="B86" s="205"/>
      <c r="C86" s="206" t="str">
        <f aca="false">IF(Table14[[#This Row],[Description]]="","",C85+1)</f>
        <v/>
      </c>
      <c r="D86" s="207"/>
      <c r="E86" s="208"/>
      <c r="F86" s="209"/>
      <c r="G86" s="209"/>
      <c r="H86" s="209"/>
      <c r="I86" s="210"/>
      <c r="J86" s="211"/>
      <c r="K86" s="212"/>
      <c r="L86" s="213"/>
      <c r="M86" s="210" t="str">
        <f aca="false">IF(Table14[[#This Row],[Progress %]]="","",Table14[[#This Row],[Progress %]]*Table14[[#This Row],[Value £]])</f>
        <v/>
      </c>
      <c r="N86" s="214"/>
    </row>
    <row r="87" s="204" customFormat="true" ht="65.15" hidden="false" customHeight="true" outlineLevel="0" collapsed="false">
      <c r="B87" s="205"/>
      <c r="C87" s="206" t="str">
        <f aca="false">IF(Table14[[#This Row],[Description]]="","",C86+1)</f>
        <v/>
      </c>
      <c r="D87" s="207"/>
      <c r="E87" s="208"/>
      <c r="F87" s="209"/>
      <c r="G87" s="209"/>
      <c r="H87" s="209"/>
      <c r="I87" s="210"/>
      <c r="J87" s="211"/>
      <c r="K87" s="212"/>
      <c r="L87" s="213"/>
      <c r="M87" s="210" t="str">
        <f aca="false">IF(Table14[[#This Row],[Progress %]]="","",Table14[[#This Row],[Progress %]]*Table14[[#This Row],[Value £]])</f>
        <v/>
      </c>
      <c r="N87" s="214"/>
    </row>
    <row r="88" s="204" customFormat="true" ht="65.15" hidden="false" customHeight="true" outlineLevel="0" collapsed="false">
      <c r="B88" s="205"/>
      <c r="C88" s="206" t="str">
        <f aca="false">IF(Table14[[#This Row],[Description]]="","",C87+1)</f>
        <v/>
      </c>
      <c r="D88" s="207"/>
      <c r="E88" s="208"/>
      <c r="F88" s="209"/>
      <c r="G88" s="209"/>
      <c r="H88" s="209"/>
      <c r="I88" s="210"/>
      <c r="J88" s="211"/>
      <c r="K88" s="212"/>
      <c r="L88" s="213"/>
      <c r="M88" s="210" t="str">
        <f aca="false">IF(Table14[[#This Row],[Progress %]]="","",Table14[[#This Row],[Progress %]]*Table14[[#This Row],[Value £]])</f>
        <v/>
      </c>
      <c r="N88" s="214"/>
    </row>
    <row r="89" s="204" customFormat="true" ht="65.15" hidden="false" customHeight="true" outlineLevel="0" collapsed="false">
      <c r="B89" s="230"/>
      <c r="C89" s="231" t="str">
        <f aca="false">IF(Table14[[#This Row],[Description]]="","",C88+1)</f>
        <v/>
      </c>
      <c r="D89" s="232"/>
      <c r="E89" s="233"/>
      <c r="F89" s="234"/>
      <c r="G89" s="234"/>
      <c r="H89" s="234"/>
      <c r="I89" s="235"/>
      <c r="J89" s="236"/>
      <c r="K89" s="237"/>
      <c r="L89" s="238"/>
      <c r="M89" s="235" t="str">
        <f aca="false">IF(Table14[[#This Row],[Progress %]]="","",Table14[[#This Row],[Progress %]]*Table14[[#This Row],[Value £]])</f>
        <v/>
      </c>
      <c r="N89" s="214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2024-10-25T11:59:53Z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